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_COTIZ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/>
      <right/>
      <top style="medium">
        <color rgb="00555555"/>
      </top>
      <bottom/>
      <diagonal/>
    </border>
    <border>
      <left/>
      <right style="medium">
        <color rgb="00555555"/>
      </right>
      <top style="medium">
        <color rgb="00555555"/>
      </top>
      <bottom/>
      <diagonal/>
    </border>
    <border>
      <left/>
      <right/>
      <top style="medium">
        <color rgb="00555555"/>
      </top>
      <bottom style="medium">
        <color rgb="00555555"/>
      </bottom>
      <diagonal/>
    </border>
    <border>
      <left/>
      <right style="medium">
        <color rgb="00555555"/>
      </right>
      <top style="medium">
        <color rgb="00555555"/>
      </top>
      <bottom style="medium">
        <color rgb="00555555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6" applyAlignment="1" pivotButton="0" quotePrefix="0" xfId="0">
      <alignment horizontal="left" vertical="top" wrapText="1"/>
    </xf>
    <xf numFmtId="0" fontId="3" fillId="4" borderId="6" applyAlignment="1" pivotButton="0" quotePrefix="0" xfId="0">
      <alignment horizontal="left" vertical="top" wrapText="1"/>
    </xf>
    <xf numFmtId="0" fontId="4" fillId="5" borderId="6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3" fillId="6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42" customWidth="1" min="4" max="4"/>
    <col width="52" customWidth="1" min="5" max="5"/>
    <col width="55" customWidth="1" min="6" max="6"/>
  </cols>
  <sheetData>
    <row r="1" ht="36" customHeight="1">
      <c r="A1" s="1" t="inlineStr">
        <is>
          <t>N° REGLA</t>
        </is>
      </c>
      <c r="B1" s="1" t="inlineStr">
        <is>
          <t>SECCION</t>
        </is>
      </c>
      <c r="C1" s="1" t="inlineStr">
        <is>
          <t>NOMBRE DE LA REGLA</t>
        </is>
      </c>
      <c r="D1" s="1" t="inlineStr">
        <is>
          <t>DESCRIPCION</t>
        </is>
      </c>
      <c r="E1" s="1" t="inlineStr">
        <is>
          <t>REGLA DE CALCULO / SELECCION ACTUAL</t>
        </is>
      </c>
      <c r="F1" s="1" t="inlineStr">
        <is>
          <t>FORMULA CONCEPTUAL PARA DESARROLLO</t>
        </is>
      </c>
    </row>
    <row r="2" ht="20" customHeight="1">
      <c r="A2" s="2" t="inlineStr">
        <is>
          <t>SECCION 1 — ENCABEZADO (Datos del broker y cliente)</t>
        </is>
      </c>
      <c r="B2" s="3" t="n"/>
      <c r="C2" s="3" t="n"/>
      <c r="D2" s="3" t="n"/>
      <c r="E2" s="3" t="n"/>
      <c r="F2" s="4" t="n"/>
    </row>
    <row r="3" ht="112" customHeight="1">
      <c r="A3" s="5" t="inlineStr">
        <is>
          <t>1.1</t>
        </is>
      </c>
      <c r="B3" s="6" t="inlineStr">
        <is>
          <t>1. Encabezado</t>
        </is>
      </c>
      <c r="C3" s="5" t="inlineStr">
        <is>
          <t>Datos del broker y cliente</t>
        </is>
      </c>
      <c r="D3" s="6" t="inlineStr">
        <is>
          <t>Campos ingresados manualmente por el usuario al generar la cotizacion.</t>
        </is>
      </c>
      <c r="E3" s="6" t="inlineStr">
        <is>
          <t>Nombre Broker  -&gt; texto libre
Nombre Cliente -&gt; texto libre
Rut            -&gt; texto libre
E-mail         -&gt; texto libre
Celular        -&gt; texto libre</t>
        </is>
      </c>
      <c r="F3" s="7" t="inlineStr">
        <is>
          <t>campos_entrada = {
  nombre_broker:  str,
  nombre_cliente: str,
  rut:            str,
  email:          str,
  celular:        str
}
-&gt; Todos campos de input manual</t>
        </is>
      </c>
    </row>
    <row r="4" ht="20" customHeight="1">
      <c r="A4" s="2" t="inlineStr">
        <is>
          <t>SECCION 2 — DATOS DEL PROYECTO</t>
        </is>
      </c>
      <c r="B4" s="3" t="n"/>
      <c r="C4" s="3" t="n"/>
      <c r="D4" s="3" t="n"/>
      <c r="E4" s="3" t="n"/>
      <c r="F4" s="4" t="n"/>
    </row>
    <row r="5" ht="32" customHeight="1">
      <c r="A5" s="5" t="inlineStr">
        <is>
          <t>2.1</t>
        </is>
      </c>
      <c r="B5" s="6" t="inlineStr">
        <is>
          <t>2. Datos proyecto</t>
        </is>
      </c>
      <c r="C5" s="5" t="inlineStr">
        <is>
          <t>Seleccion de Inmobiliaria</t>
        </is>
      </c>
      <c r="D5" s="6" t="inlineStr">
        <is>
          <t>Lista fija. Fuente: hoja 'aux', columna A.</t>
        </is>
      </c>
      <c r="E5" s="6" t="inlineStr">
        <is>
          <t>Opciones: ALIANZA | MAESTRA | RVC | TOCTOC | URMENETA</t>
        </is>
      </c>
      <c r="F5" s="7" t="inlineStr">
        <is>
          <t>inmobiliarias = SELECT DISTINCT alianza FROM stock
-&gt; Dropdown con lista de inmobiliarias</t>
        </is>
      </c>
    </row>
    <row r="6" ht="98" customHeight="1">
      <c r="A6" s="8" t="inlineStr">
        <is>
          <t>2.2</t>
        </is>
      </c>
      <c r="B6" s="9" t="inlineStr">
        <is>
          <t>2. Datos proyecto</t>
        </is>
      </c>
      <c r="C6" s="8" t="inlineStr">
        <is>
          <t>Seleccion de Proyecto</t>
        </is>
      </c>
      <c r="D6" s="9" t="inlineStr">
        <is>
          <t>Lista dependiente de la inmobiliaria. Fuente: hoja 'aux', columna B.</t>
        </is>
      </c>
      <c r="E6" s="9" t="inlineStr">
        <is>
          <t>MAESTRA -&gt; CACERES, PLAZA CERVANTES I, PLAZA CERVANTES II,
           PLAZA QUILICURA, TRINIDAD III,
           VISTA COSTANERA, VISTA RELONCAVI
RVC     -&gt; JARDINES DE ALVARADO
TOCTOC  -&gt; MIRADOR MAPOCHO
URMENETA-&gt; PINTOR CICARELLI I, PINTOR CICARELLI II,
           ALTO BUZETA (MT)</t>
        </is>
      </c>
      <c r="F6" s="7" t="inlineStr">
        <is>
          <t>proyectos = SELECT DISTINCT nombre_proyecto
            FROM stock
            WHERE alianza = inmobiliaria_seleccionada
-&gt; Dropdown que se recarga al cambiar inmobiliaria</t>
        </is>
      </c>
    </row>
    <row r="7" ht="32" customHeight="1">
      <c r="A7" s="5" t="inlineStr">
        <is>
          <t>2.3</t>
        </is>
      </c>
      <c r="B7" s="6" t="inlineStr">
        <is>
          <t>2. Datos proyecto</t>
        </is>
      </c>
      <c r="C7" s="5" t="inlineStr">
        <is>
          <t>Tipo de Entrega</t>
        </is>
      </c>
      <c r="D7" s="6" t="inlineStr">
        <is>
          <t>Auto-completado desde el stock. Fuente: aux2 col G (TIPO ENTREGA).</t>
        </is>
      </c>
      <c r="E7" s="6" t="inlineStr">
        <is>
          <t>Valores posibles: 'Entrega Inmediata' / 'En Construccion'
Se obtiene del registro de la unidad seleccionada.</t>
        </is>
      </c>
      <c r="F7" s="7" t="inlineStr">
        <is>
          <t>tipo_entrega = stock[unidad].tipo_entrega
-&gt; Campo de solo lectura</t>
        </is>
      </c>
    </row>
    <row r="8" ht="32" customHeight="1">
      <c r="A8" s="8" t="inlineStr">
        <is>
          <t>2.4</t>
        </is>
      </c>
      <c r="B8" s="9" t="inlineStr">
        <is>
          <t>2. Datos proyecto</t>
        </is>
      </c>
      <c r="C8" s="8" t="inlineStr">
        <is>
          <t>Periodo de Entrega</t>
        </is>
      </c>
      <c r="D8" s="9" t="inlineStr">
        <is>
          <t>Auto-completado desde el stock. Fuente: aux2 col H (PERIODO ENTREGA).</t>
        </is>
      </c>
      <c r="E8" s="9" t="inlineStr">
        <is>
          <t>Ej: 'Inmediata'
Se obtiene del registro de la unidad seleccionada.</t>
        </is>
      </c>
      <c r="F8" s="7" t="inlineStr">
        <is>
          <t>periodo_entrega = stock[unidad].periodo_entrega
-&gt; Campo de solo lectura</t>
        </is>
      </c>
    </row>
    <row r="9" ht="20" customHeight="1">
      <c r="A9" s="2" t="inlineStr">
        <is>
          <t>SECCION 3 — CARACTERISTICAS DE LA PROPIEDAD</t>
        </is>
      </c>
      <c r="B9" s="3" t="n"/>
      <c r="C9" s="3" t="n"/>
      <c r="D9" s="3" t="n"/>
      <c r="E9" s="3" t="n"/>
      <c r="F9" s="4" t="n"/>
    </row>
    <row r="10" ht="70" customHeight="1">
      <c r="A10" s="5" t="inlineStr">
        <is>
          <t>3.1</t>
        </is>
      </c>
      <c r="B10" s="6" t="inlineStr">
        <is>
          <t>3. Caracteristicas</t>
        </is>
      </c>
      <c r="C10" s="5" t="inlineStr">
        <is>
          <t>Filtro por Estado de Stock</t>
        </is>
      </c>
      <c r="D10" s="6" t="inlineStr">
        <is>
          <t>Solo se listan unidades cotizables. Fuente: aux2 col K (ESTADO STOCK).</t>
        </is>
      </c>
      <c r="E10" s="6" t="inlineStr">
        <is>
          <t>ESTADO STOCK = 'Disponible'  -&gt; aparece en la lista
ESTADO STOCK = 'Arrendado'   -&gt; NO aparece en la lista</t>
        </is>
      </c>
      <c r="F10" s="7" t="inlineStr">
        <is>
          <t>unidades_disponibles = stock.filter(
  alianza         == inmobiliaria_sel
  AND nombre_proyecto == proyecto_sel
  AND estado_stock    == 'Disponible'
)</t>
        </is>
      </c>
    </row>
    <row r="11" ht="32" customHeight="1">
      <c r="A11" s="8" t="inlineStr">
        <is>
          <t>3.2</t>
        </is>
      </c>
      <c r="B11" s="9" t="inlineStr">
        <is>
          <t>3. Caracteristicas</t>
        </is>
      </c>
      <c r="C11" s="8" t="inlineStr">
        <is>
          <t>Seleccion de N° Unidad</t>
        </is>
      </c>
      <c r="D11" s="9" t="inlineStr">
        <is>
          <t>Campo clave (key) que dispara todos los lookups siguientes. Fuente: aux2 col O.</t>
        </is>
      </c>
      <c r="E11" s="9" t="inlineStr">
        <is>
          <t>El usuario elige de la lista filtrada.
N° Unidad es la clave primaria de la tabla de stock.</t>
        </is>
      </c>
      <c r="F11" s="7" t="inlineStr">
        <is>
          <t>numero_unidad = input_seleccion(unidades_disponibles)
-&gt; Dropdown o buscador por numero de unidad</t>
        </is>
      </c>
    </row>
    <row r="12" ht="32" customHeight="1">
      <c r="A12" s="5" t="inlineStr">
        <is>
          <t>3.3</t>
        </is>
      </c>
      <c r="B12" s="6" t="inlineStr">
        <is>
          <t>3. Caracteristicas</t>
        </is>
      </c>
      <c r="C12" s="5" t="inlineStr">
        <is>
          <t>Piso</t>
        </is>
      </c>
      <c r="D12" s="6" t="inlineStr">
        <is>
          <t>Fuente: aux2 col N (PISO PRODUCTO).</t>
        </is>
      </c>
      <c r="E12" s="6">
        <f>XLOOKUP(N°Unidad, aux2.O:O, aux2.N:N)</f>
        <v/>
      </c>
      <c r="F12" s="7" t="inlineStr">
        <is>
          <t>piso = stock[numero_unidad].piso_producto
-&gt; Solo lectura</t>
        </is>
      </c>
    </row>
    <row r="13" ht="32" customHeight="1">
      <c r="A13" s="8" t="inlineStr">
        <is>
          <t>3.4</t>
        </is>
      </c>
      <c r="B13" s="9" t="inlineStr">
        <is>
          <t>3. Caracteristicas</t>
        </is>
      </c>
      <c r="C13" s="8" t="inlineStr">
        <is>
          <t>Orientacion</t>
        </is>
      </c>
      <c r="D13" s="9" t="inlineStr">
        <is>
          <t>Fuente: aux2 col P (ORIENTACION). Ej: NORTE, SUR.</t>
        </is>
      </c>
      <c r="E13" s="9">
        <f>XLOOKUP(N°Unidad, aux2.O:O, aux2.P:P)</f>
        <v/>
      </c>
      <c r="F13" s="7" t="inlineStr">
        <is>
          <t>orientacion = stock[numero_unidad].orientacion
-&gt; Solo lectura</t>
        </is>
      </c>
    </row>
    <row r="14" ht="32" customHeight="1">
      <c r="A14" s="5" t="inlineStr">
        <is>
          <t>3.5</t>
        </is>
      </c>
      <c r="B14" s="6" t="inlineStr">
        <is>
          <t>3. Caracteristicas</t>
        </is>
      </c>
      <c r="C14" s="5" t="inlineStr">
        <is>
          <t>Tipologia (Programa)</t>
        </is>
      </c>
      <c r="D14" s="6" t="inlineStr">
        <is>
          <t>Fuente: aux2 col M (PROGRAMA). Ej: '2D1B' = 2 dormitorios, 1 bano.</t>
        </is>
      </c>
      <c r="E14" s="6">
        <f>XLOOKUP(N°Unidad, aux2.O:O, aux2.M:M)</f>
        <v/>
      </c>
      <c r="F14" s="7" t="inlineStr">
        <is>
          <t>tipologia = stock[numero_unidad].programa
-&gt; Solo lectura</t>
        </is>
      </c>
    </row>
    <row r="15" ht="32" customHeight="1">
      <c r="A15" s="8" t="inlineStr">
        <is>
          <t>3.6</t>
        </is>
      </c>
      <c r="B15" s="9" t="inlineStr">
        <is>
          <t>3. Caracteristicas</t>
        </is>
      </c>
      <c r="C15" s="8" t="inlineStr">
        <is>
          <t>Dormitorios</t>
        </is>
      </c>
      <c r="D15" s="9" t="inlineStr">
        <is>
          <t>Fuente: aux2 col Q (DORMITORIOS).</t>
        </is>
      </c>
      <c r="E15" s="9">
        <f>XLOOKUP(N°Unidad, aux2.O:O, aux2.Q:Q)</f>
        <v/>
      </c>
      <c r="F15" s="7" t="inlineStr">
        <is>
          <t>dormitorios = stock[numero_unidad].dormitorios
-&gt; Solo lectura</t>
        </is>
      </c>
    </row>
    <row r="16" ht="32" customHeight="1">
      <c r="A16" s="5" t="inlineStr">
        <is>
          <t>3.7</t>
        </is>
      </c>
      <c r="B16" s="6" t="inlineStr">
        <is>
          <t>3. Caracteristicas</t>
        </is>
      </c>
      <c r="C16" s="5" t="inlineStr">
        <is>
          <t>Banos</t>
        </is>
      </c>
      <c r="D16" s="6" t="inlineStr">
        <is>
          <t>Fuente: aux2 col R (BANOS).</t>
        </is>
      </c>
      <c r="E16" s="6">
        <f>XLOOKUP(N°Unidad, aux2.O:O, aux2.R:R)</f>
        <v/>
      </c>
      <c r="F16" s="7" t="inlineStr">
        <is>
          <t>banios = stock[numero_unidad].banios
-&gt; Solo lectura</t>
        </is>
      </c>
    </row>
    <row r="17" ht="70" customHeight="1">
      <c r="A17" s="8" t="inlineStr">
        <is>
          <t>3.8</t>
        </is>
      </c>
      <c r="B17" s="9" t="inlineStr">
        <is>
          <t>3. Caracteristicas</t>
        </is>
      </c>
      <c r="C17" s="8" t="inlineStr">
        <is>
          <t>Superficie Util (m2)</t>
        </is>
      </c>
      <c r="D17" s="9" t="inlineStr">
        <is>
          <t>Fuente: aux2 col U. ATENCION: puede llegar como texto con coma decimal -&gt; normalizar.</t>
        </is>
      </c>
      <c r="E17" s="9">
        <f>XLOOKUP(N°Unidad, aux2.O:O, aux2.U:U)
Ej: '36,9' -&gt; debe convertirse a 36.9</f>
        <v/>
      </c>
      <c r="F17" s="7" t="inlineStr">
        <is>
          <t>sup_util = float(
  stock[numero_unidad].superficie_util
    .replace(',', '.')
)
-&gt; Solo lectura, mostrar en m2</t>
        </is>
      </c>
    </row>
    <row r="18" ht="70" customHeight="1">
      <c r="A18" s="5" t="inlineStr">
        <is>
          <t>3.9</t>
        </is>
      </c>
      <c r="B18" s="6" t="inlineStr">
        <is>
          <t>3. Caracteristicas</t>
        </is>
      </c>
      <c r="C18" s="5" t="inlineStr">
        <is>
          <t>Superficie Terraza (m2)</t>
        </is>
      </c>
      <c r="D18" s="6" t="inlineStr">
        <is>
          <t>Fuente: aux2 col V. Mismo tratamiento de coma decimal que Sup. Util.</t>
        </is>
      </c>
      <c r="E18" s="6">
        <f>XLOOKUP(N°Unidad, aux2.O:O, aux2.V:V)</f>
        <v/>
      </c>
      <c r="F18" s="7" t="inlineStr">
        <is>
          <t>sup_terraza = float(
  stock[numero_unidad].superficie_terraza
    .replace(',', '.')
)
-&gt; Solo lectura</t>
        </is>
      </c>
    </row>
    <row r="19" ht="32" customHeight="1">
      <c r="A19" s="8" t="inlineStr">
        <is>
          <t>3.10</t>
        </is>
      </c>
      <c r="B19" s="9" t="inlineStr">
        <is>
          <t>3. Caracteristicas</t>
        </is>
      </c>
      <c r="C19" s="8" t="inlineStr">
        <is>
          <t>Superficie Total (m2)</t>
        </is>
      </c>
      <c r="D19" s="9" t="inlineStr">
        <is>
          <t>Fuente: aux2 col W. = Sup. Util + Sup. Terraza.</t>
        </is>
      </c>
      <c r="E19" s="9">
        <f>XLOOKUP(N°Unidad, aux2.O:O, aux2.W:W)</f>
        <v/>
      </c>
      <c r="F19" s="7" t="inlineStr">
        <is>
          <t>sup_total = stock[numero_unidad].superficie_total
-&gt; Solo lectura</t>
        </is>
      </c>
    </row>
    <row r="20" ht="20" customHeight="1">
      <c r="A20" s="2" t="inlineStr">
        <is>
          <t>SECCION 4 — VALOR UF DEL DIA</t>
        </is>
      </c>
      <c r="B20" s="3" t="n"/>
      <c r="C20" s="3" t="n"/>
      <c r="D20" s="3" t="n"/>
      <c r="E20" s="3" t="n"/>
      <c r="F20" s="4" t="n"/>
    </row>
    <row r="21" ht="56" customHeight="1">
      <c r="A21" s="5" t="inlineStr">
        <is>
          <t>4.1</t>
        </is>
      </c>
      <c r="B21" s="6" t="inlineStr">
        <is>
          <t>4. Valor UF</t>
        </is>
      </c>
      <c r="C21" s="5" t="inlineStr">
        <is>
          <t>Obtener valor UF vigente</t>
        </is>
      </c>
      <c r="D21" s="6" t="inlineStr">
        <is>
          <t>Se busca la fecha de hoy en la tabla de la hoja 'UF' (col C=fecha, col D=valor UF).</t>
        </is>
      </c>
      <c r="E21" s="6">
        <f>VLOOKUP(HOY(), UF!$C:$D, 2, 0)
Retorna el valor en CLP de 1 UF para la fecha actual.</f>
        <v/>
      </c>
      <c r="F21" s="7" t="inlineStr">
        <is>
          <t>valor_uf = fetch_uf(fecha=hoy())
-&gt; Consumir API externa (CMF / Mindicador)
   GET https://mindicador.cl/api/uf/{dd-mm-yyyy}
-&gt; Cachear el resultado por dia</t>
        </is>
      </c>
    </row>
    <row r="22" ht="20" customHeight="1">
      <c r="A22" s="2" t="inlineStr">
        <is>
          <t>SECCION 5 — VALORES (Precios lista y con descuento)</t>
        </is>
      </c>
      <c r="B22" s="3" t="n"/>
      <c r="C22" s="3" t="n"/>
      <c r="D22" s="3" t="n"/>
      <c r="E22" s="3" t="n"/>
      <c r="F22" s="4" t="n"/>
    </row>
    <row r="23" ht="32" customHeight="1">
      <c r="A23" s="5" t="inlineStr">
        <is>
          <t>5.1</t>
        </is>
      </c>
      <c r="B23" s="6" t="inlineStr">
        <is>
          <t>5. Valores</t>
        </is>
      </c>
      <c r="C23" s="5" t="inlineStr">
        <is>
          <t>Precio Lista Departamento (UF)</t>
        </is>
      </c>
      <c r="D23" s="6" t="inlineStr">
        <is>
          <t>Precio de lista del departamento antes de descuento. Fuente: aux2 col S.</t>
        </is>
      </c>
      <c r="E23" s="6">
        <f>XLOOKUP(N°Unidad, aux2.O:O, aux2.S:S)
Unidad: UF</f>
        <v/>
      </c>
      <c r="F23" s="7" t="inlineStr">
        <is>
          <t>precio_lista_depto_uf = stock[numero_unidad].precio_lista</t>
        </is>
      </c>
    </row>
    <row r="24" ht="32" customHeight="1">
      <c r="A24" s="8" t="inlineStr">
        <is>
          <t>5.2</t>
        </is>
      </c>
      <c r="B24" s="9" t="inlineStr">
        <is>
          <t>5. Valores</t>
        </is>
      </c>
      <c r="C24" s="8" t="inlineStr">
        <is>
          <t>Precio Lista Estacionamiento (UF)</t>
        </is>
      </c>
      <c r="D24" s="9" t="inlineStr">
        <is>
          <t>Ingreso manual. Puede ser 0 si la unidad no incluye estacionamiento.</t>
        </is>
      </c>
      <c r="E24" s="9" t="inlineStr">
        <is>
          <t>Campo de ingreso manual, valor por defecto = 0</t>
        </is>
      </c>
      <c r="F24" s="7" t="inlineStr">
        <is>
          <t>precio_lista_estac_uf = input_manual(default=0)
-&gt; Campo numerico editable</t>
        </is>
      </c>
    </row>
    <row r="25" ht="32" customHeight="1">
      <c r="A25" s="5" t="inlineStr">
        <is>
          <t>5.3</t>
        </is>
      </c>
      <c r="B25" s="6" t="inlineStr">
        <is>
          <t>5. Valores</t>
        </is>
      </c>
      <c r="C25" s="5" t="inlineStr">
        <is>
          <t>Precio Lista Bodega (UF)</t>
        </is>
      </c>
      <c r="D25" s="6" t="inlineStr">
        <is>
          <t>Ingreso manual. Puede ser 0 si la unidad no incluye bodega.</t>
        </is>
      </c>
      <c r="E25" s="6" t="inlineStr">
        <is>
          <t>Campo de ingreso manual, valor por defecto = 0</t>
        </is>
      </c>
      <c r="F25" s="7" t="inlineStr">
        <is>
          <t>precio_lista_bodega_uf = input_manual(default=0)
-&gt; Campo numerico editable</t>
        </is>
      </c>
    </row>
    <row r="26" ht="70" customHeight="1">
      <c r="A26" s="8" t="inlineStr">
        <is>
          <t>5.4</t>
        </is>
      </c>
      <c r="B26" s="9" t="inlineStr">
        <is>
          <t>5. Valores</t>
        </is>
      </c>
      <c r="C26" s="8" t="inlineStr">
        <is>
          <t>Total Precio Lista (UF)</t>
        </is>
      </c>
      <c r="D26" s="9" t="inlineStr">
        <is>
          <t>Suma de los tres componentes.</t>
        </is>
      </c>
      <c r="E26" s="9">
        <f>E30 + E31 + E32
= Departamento + Estacionamiento + Bodega</f>
        <v/>
      </c>
      <c r="F26" s="7" t="inlineStr">
        <is>
          <t>total_lista_uf = (
  precio_lista_depto_uf
  + precio_lista_estac_uf
  + precio_lista_bodega_uf
)</t>
        </is>
      </c>
    </row>
    <row r="27" ht="42" customHeight="1">
      <c r="A27" s="5" t="inlineStr">
        <is>
          <t>5.5</t>
        </is>
      </c>
      <c r="B27" s="6" t="inlineStr">
        <is>
          <t>5. Valores</t>
        </is>
      </c>
      <c r="C27" s="5" t="inlineStr">
        <is>
          <t>% de cada item sobre Total Lista</t>
        </is>
      </c>
      <c r="D27" s="6" t="inlineStr">
        <is>
          <t>Participacion porcentual de cada componente. Si total=0, retornar 0.</t>
        </is>
      </c>
      <c r="E27" s="6">
        <f>IFERROR(item_UF / Total_UF, "")</f>
        <v/>
      </c>
      <c r="F27" s="7" t="inlineStr">
        <is>
          <t>pct_depto  = precio_lista_depto_uf  / total_lista_uf
pct_estac  = precio_lista_estac_uf  / total_lista_uf
pct_bodega = precio_lista_bodega_uf / total_lista_uf</t>
        </is>
      </c>
    </row>
    <row r="28" ht="56" customHeight="1">
      <c r="A28" s="8" t="inlineStr">
        <is>
          <t>5.6</t>
        </is>
      </c>
      <c r="B28" s="9" t="inlineStr">
        <is>
          <t>5. Valores</t>
        </is>
      </c>
      <c r="C28" s="8" t="inlineStr">
        <is>
          <t>Conversion a CLP de precios lista</t>
        </is>
      </c>
      <c r="D28" s="9" t="inlineStr">
        <is>
          <t>Multiplicar cada valor UF por el valor UF del dia.</t>
        </is>
      </c>
      <c r="E28" s="9">
        <f>item_UF * Valor_UF
Ej: Departamento_$ = E30 * C25</f>
        <v/>
      </c>
      <c r="F28" s="7" t="inlineStr">
        <is>
          <t>depto_clp       = precio_lista_depto_uf  * valor_uf
estac_clp       = precio_lista_estac_uf  * valor_uf
bodega_clp      = precio_lista_bodega_uf * valor_uf
total_lista_clp = total_lista_uf * valor_uf</t>
        </is>
      </c>
    </row>
    <row r="29" ht="32" customHeight="1">
      <c r="A29" s="5" t="inlineStr">
        <is>
          <t>5.7</t>
        </is>
      </c>
      <c r="B29" s="6" t="inlineStr">
        <is>
          <t>5. Valores</t>
        </is>
      </c>
      <c r="C29" s="5" t="inlineStr">
        <is>
          <t>Descuento de Venta (%)</t>
        </is>
      </c>
      <c r="D29" s="6" t="inlineStr">
        <is>
          <t>Porcentaje de descuento por unidad. Fuente: aux2 col Z (DESCUENTO). Varia por unidad.</t>
        </is>
      </c>
      <c r="E29" s="6">
        <f>XLOOKUP(N°Unidad, aux2.O:O, aux2.Z:Z)
Ej: 0.10 = 10%</f>
        <v/>
      </c>
      <c r="F29" s="7" t="inlineStr">
        <is>
          <t>descuento_pct = stock[numero_unidad].descuento
-&gt; Solo lectura, mostrar como %</t>
        </is>
      </c>
    </row>
    <row r="30" ht="42" customHeight="1">
      <c r="A30" s="8" t="inlineStr">
        <is>
          <t>5.8</t>
        </is>
      </c>
      <c r="B30" s="9" t="inlineStr">
        <is>
          <t>5. Valores</t>
        </is>
      </c>
      <c r="C30" s="8" t="inlineStr">
        <is>
          <t>Precio con Descuento — Departamento (UF)</t>
        </is>
      </c>
      <c r="D30" s="9" t="inlineStr">
        <is>
          <t>El descuento se aplica SOLO al departamento, no a estacionamiento ni bodega.</t>
        </is>
      </c>
      <c r="E30" s="9">
        <f>E30 * (1 - F34)
= Precio_Lista_Depto * (1 - Descuento_Venta)</f>
        <v/>
      </c>
      <c r="F30" s="7" t="inlineStr">
        <is>
          <t>precio_desc_depto_uf = (
  precio_lista_depto_uf * (1 - descuento_pct)
)</t>
        </is>
      </c>
    </row>
    <row r="31" ht="32" customHeight="1">
      <c r="A31" s="5" t="inlineStr">
        <is>
          <t>5.9</t>
        </is>
      </c>
      <c r="B31" s="6" t="inlineStr">
        <is>
          <t>5. Valores</t>
        </is>
      </c>
      <c r="C31" s="5" t="inlineStr">
        <is>
          <t>Precio con Descuento — Estacionamiento y Bodega</t>
        </is>
      </c>
      <c r="D31" s="6" t="inlineStr">
        <is>
          <t>Sin descuento aplicado. Se mantiene el precio de lista.</t>
        </is>
      </c>
      <c r="E31" s="6">
        <f>E31  (Estacionamiento, sin cambio)
=E32  (Bodega, sin cambio)</f>
        <v/>
      </c>
      <c r="F31" s="7" t="inlineStr">
        <is>
          <t>precio_desc_estac_uf  = precio_lista_estac_uf
precio_desc_bodega_uf = precio_lista_bodega_uf</t>
        </is>
      </c>
    </row>
    <row r="32" ht="98" customHeight="1">
      <c r="A32" s="8" t="inlineStr">
        <is>
          <t>5.10</t>
        </is>
      </c>
      <c r="B32" s="9" t="inlineStr">
        <is>
          <t>5. Valores</t>
        </is>
      </c>
      <c r="C32" s="8" t="inlineStr">
        <is>
          <t>Total con Descuento (UF, %, CLP)</t>
        </is>
      </c>
      <c r="D32" s="9" t="inlineStr">
        <is>
          <t>Base de todos los calculos siguientes. % = siempre 100%.</t>
        </is>
      </c>
      <c r="E32" s="9">
        <f>SUM(E35:E37)
= Depto_Desc + Estac + Bodega
% = 100%
$ = Total_Desc_UF * Valor_UF</f>
        <v/>
      </c>
      <c r="F32" s="7" t="inlineStr">
        <is>
          <t>total_desc_uf  = (
  precio_desc_depto_uf
  + precio_desc_estac_uf
  + precio_desc_bodega_uf
)
total_desc_pct = 1.0
total_desc_clp = total_desc_uf * valor_uf</t>
        </is>
      </c>
    </row>
    <row r="33" ht="20" customHeight="1">
      <c r="A33" s="2" t="inlineStr">
        <is>
          <t>SECCION 6 — ESTRUCTURA DEL PIE Y CREDITO HIPOTECARIO</t>
        </is>
      </c>
      <c r="B33" s="3" t="n"/>
      <c r="C33" s="3" t="n"/>
      <c r="D33" s="3" t="n"/>
      <c r="E33" s="3" t="n"/>
      <c r="F33" s="4" t="n"/>
    </row>
    <row r="34" ht="70" customHeight="1">
      <c r="A34" s="5" t="inlineStr">
        <is>
          <t>6.1</t>
        </is>
      </c>
      <c r="B34" s="6" t="inlineStr">
        <is>
          <t>6. Pie y CH</t>
        </is>
      </c>
      <c r="C34" s="5" t="inlineStr">
        <is>
          <t>Porcentaje de Pie (%)</t>
        </is>
      </c>
      <c r="D34" s="6" t="inlineStr">
        <is>
          <t>Configurable. Opciones en hoja 'aux' col D: 0% a 40% de a 5%. Default: 10%.</t>
        </is>
      </c>
      <c r="E34" s="6" t="inlineStr">
        <is>
          <t>F39 = 0.10 (valor por defecto)
Opciones disponibles: 0%, 5%, 10%, 15%, 20%, 25%, 30%, 35%, 40%</t>
        </is>
      </c>
      <c r="F34" s="7" t="inlineStr">
        <is>
          <t>pie_pct = input_seleccion(
  opciones=[0,5,10,15,20,25,30,35,40],
  default=10
) / 100
-&gt; Dropdown o slider</t>
        </is>
      </c>
    </row>
    <row r="35" ht="32" customHeight="1">
      <c r="A35" s="8" t="inlineStr">
        <is>
          <t>6.2</t>
        </is>
      </c>
      <c r="B35" s="9" t="inlineStr">
        <is>
          <t>6. Pie y CH</t>
        </is>
      </c>
      <c r="C35" s="8" t="inlineStr">
        <is>
          <t>Pie Total (UF)</t>
        </is>
      </c>
      <c r="D35" s="9" t="inlineStr">
        <is>
          <t>Monto total del pie sobre el precio con descuento.</t>
        </is>
      </c>
      <c r="E35" s="9">
        <f>E38 * F39
= Total_Descuento_UF * Pie_%</f>
        <v/>
      </c>
      <c r="F35" s="7" t="inlineStr">
        <is>
          <t>pie_total_uf = total_desc_uf * pie_pct</t>
        </is>
      </c>
    </row>
    <row r="36" ht="42" customHeight="1">
      <c r="A36" s="5" t="inlineStr">
        <is>
          <t>6.3</t>
        </is>
      </c>
      <c r="B36" s="6" t="inlineStr">
        <is>
          <t>6. Pie y CH</t>
        </is>
      </c>
      <c r="C36" s="5" t="inlineStr">
        <is>
          <t>Reserva (CLP -&gt; UF)</t>
        </is>
      </c>
      <c r="D36" s="6" t="inlineStr">
        <is>
          <t>La reserva esta en CLP en el stock. Fuente: aux2 col Y. Ej: $100.000 CLP.</t>
        </is>
      </c>
      <c r="E36" s="6" t="inlineStr">
        <is>
          <t>Reserva_$ = XLOOKUP(N°Unidad, aux2.O:O, aux2.Y:Y)
Reserva_UF = Reserva_$ / Valor_UF
Reserva_% = Reserva_UF / Total_Desc_UF</t>
        </is>
      </c>
      <c r="F36" s="7" t="inlineStr">
        <is>
          <t>reserva_clp = stock[numero_unidad].reserva
reserva_uf  = reserva_clp / valor_uf
reserva_pct = reserva_uf / total_desc_uf</t>
        </is>
      </c>
    </row>
    <row r="37" ht="56" customHeight="1">
      <c r="A37" s="8" t="inlineStr">
        <is>
          <t>6.4</t>
        </is>
      </c>
      <c r="B37" s="9" t="inlineStr">
        <is>
          <t>6. Pie y CH</t>
        </is>
      </c>
      <c r="C37" s="8" t="inlineStr">
        <is>
          <t>Upfront a la Promesa</t>
        </is>
      </c>
      <c r="D37" s="9" t="inlineStr">
        <is>
          <t>Porcentaje fijo del total con descuento: 2% (constante, no configurable).</t>
        </is>
      </c>
      <c r="E37" s="9">
        <f>ROUND(E38 * 0.02, 2)  -&gt; F41 = 2%
Upfront_UF = ROUND(Total_Desc_UF * 2%, 2)
Upfront_$ = ROUND(Upfront_UF * Valor_UF, 0)
Upfront_% = Upfront_UF / Total_Desc_UF</f>
        <v/>
      </c>
      <c r="F37" s="7" t="inlineStr">
        <is>
          <t>UPFRONT_PCT = 0.02
upfront_uf  = round(total_desc_uf * UPFRONT_PCT, 2)
upfront_clp = round(upfront_uf * valor_uf, 0)
upfront_pct = upfront_uf / total_desc_uf</t>
        </is>
      </c>
    </row>
    <row r="38" ht="56" customHeight="1">
      <c r="A38" s="5" t="inlineStr">
        <is>
          <t>6.5</t>
        </is>
      </c>
      <c r="B38" s="6" t="inlineStr">
        <is>
          <t>6. Pie y CH</t>
        </is>
      </c>
      <c r="C38" s="5" t="inlineStr">
        <is>
          <t>Saldo Pie por Pagar</t>
        </is>
      </c>
      <c r="D38" s="6" t="inlineStr">
        <is>
          <t>Lo que queda del pie luego de reserva y upfront.</t>
        </is>
      </c>
      <c r="E38" s="6">
        <f>E39 - E40 - E41
= Pie_Total_UF - Reserva_UF - Upfront_UF
Saldo_$ = Saldo_UF * Valor_UF
Saldo_% = Saldo_UF / Total_Desc_UF</f>
        <v/>
      </c>
      <c r="F38" s="7" t="inlineStr">
        <is>
          <t>saldo_pie_uf  = pie_total_uf - reserva_uf - upfront_uf
saldo_pie_clp = saldo_pie_uf * valor_uf
saldo_pie_pct = saldo_pie_uf / total_desc_uf</t>
        </is>
      </c>
    </row>
    <row r="39" ht="56" customHeight="1">
      <c r="A39" s="8" t="inlineStr">
        <is>
          <t>6.6</t>
        </is>
      </c>
      <c r="B39" s="9" t="inlineStr">
        <is>
          <t>6. Pie y CH</t>
        </is>
      </c>
      <c r="C39" s="8" t="inlineStr">
        <is>
          <t>Credito Hipotecario (sobre precio con descuento)</t>
        </is>
      </c>
      <c r="D39" s="9" t="inlineStr">
        <is>
          <t>Diferencia entre el precio total con descuento y el pie total.</t>
        </is>
      </c>
      <c r="E39" s="9">
        <f>E38 - E39
= Total_Desc_UF - Pie_Total_UF
CH_$ = CH_UF * Valor_UF
CH_% = CH_UF / Total_Desc_UF</f>
        <v/>
      </c>
      <c r="F39" s="7" t="inlineStr">
        <is>
          <t>ch_uf  = total_desc_uf - pie_total_uf
ch_clp = ch_uf * valor_uf
ch_pct = ch_uf / total_desc_uf</t>
        </is>
      </c>
    </row>
    <row r="40" ht="20" customHeight="1">
      <c r="A40" s="2" t="inlineStr">
        <is>
          <t>SECCION 7 — VALOR DE COMPRA (Tasacion con Aporte Inmobiliaria)</t>
        </is>
      </c>
      <c r="B40" s="3" t="n"/>
      <c r="C40" s="3" t="n"/>
      <c r="D40" s="3" t="n"/>
      <c r="E40" s="3" t="n"/>
      <c r="F40" s="4" t="n"/>
    </row>
    <row r="41" ht="32" customHeight="1">
      <c r="A41" s="5" t="inlineStr">
        <is>
          <t>7.1</t>
        </is>
      </c>
      <c r="B41" s="6" t="inlineStr">
        <is>
          <t>7. Tasacion</t>
        </is>
      </c>
      <c r="C41" s="5" t="inlineStr">
        <is>
          <t>Aporte Inmobiliaria (%)</t>
        </is>
      </c>
      <c r="D41" s="6" t="inlineStr">
        <is>
          <t>Porcentaje del valor de tasacion aportado por la inmobiliaria. Constante.</t>
        </is>
      </c>
      <c r="E41" s="6" t="inlineStr">
        <is>
          <t>F46 = 10% (fijo, no configurable)</t>
        </is>
      </c>
      <c r="F41" s="7" t="inlineStr">
        <is>
          <t>APORTE_INMOB_PCT = 0.10</t>
        </is>
      </c>
    </row>
    <row r="42" ht="42" customHeight="1">
      <c r="A42" s="8" t="inlineStr">
        <is>
          <t>7.2</t>
        </is>
      </c>
      <c r="B42" s="9" t="inlineStr">
        <is>
          <t>7. Tasacion</t>
        </is>
      </c>
      <c r="C42" s="8" t="inlineStr">
        <is>
          <t>% CH ajustado sobre Tasacion</t>
        </is>
      </c>
      <c r="D42" s="9" t="inlineStr">
        <is>
          <t>Porcentaje que representa el CH sobre el valor de tasacion (mayor que el precio lista).</t>
        </is>
      </c>
      <c r="E42" s="9">
        <f>100% - F39 - F46
= 100% - Pie_% - Aporte_Inmob_%
Ej: 100% - 10% - 10% = 80%</f>
        <v/>
      </c>
      <c r="F42" s="7" t="inlineStr">
        <is>
          <t>ch_ajustado_pct = 1.0 - pie_pct - APORTE_INMOB_PCT</t>
        </is>
      </c>
    </row>
    <row r="43" ht="56" customHeight="1">
      <c r="A43" s="5" t="inlineStr">
        <is>
          <t>7.3</t>
        </is>
      </c>
      <c r="B43" s="6" t="inlineStr">
        <is>
          <t>7. Tasacion</t>
        </is>
      </c>
      <c r="C43" s="5" t="inlineStr">
        <is>
          <t>Valor de Venta / Tasacion (UF)</t>
        </is>
      </c>
      <c r="D43" s="6" t="inlineStr">
        <is>
          <t>Despeje matematico: el banco tasa el inmueble a un valor mayor para cubrir el CH al 80%.</t>
        </is>
      </c>
      <c r="E43" s="6">
        <f>E43 / F48
= CH_UF / CH_ajustado_%
% = 100%
$ = Tasacion_UF * Valor_UF</f>
        <v/>
      </c>
      <c r="F43" s="7" t="inlineStr">
        <is>
          <t>tasacion_uf  = ch_uf / ch_ajustado_pct
tasacion_clp = tasacion_uf * valor_uf
tasacion_pct = 1.0</t>
        </is>
      </c>
    </row>
    <row r="44" ht="42" customHeight="1">
      <c r="A44" s="8" t="inlineStr">
        <is>
          <t>7.4</t>
        </is>
      </c>
      <c r="B44" s="9" t="inlineStr">
        <is>
          <t>7. Tasacion</t>
        </is>
      </c>
      <c r="C44" s="8" t="inlineStr">
        <is>
          <t>Pie Pagado (Reserva + Upfront + Saldo Pie)</t>
        </is>
      </c>
      <c r="D44" s="9" t="inlineStr">
        <is>
          <t>Total efectivamente pagado por el comprador como pie.</t>
        </is>
      </c>
      <c r="E44" s="9">
        <f>E40 + E41 + E42
= Reserva_UF + Upfront_UF + Saldo_Pie_UF
% = Pie_Pagado_UF / Tasacion_UF</f>
        <v/>
      </c>
      <c r="F44" s="7" t="inlineStr">
        <is>
          <t>pie_pagado_uf  = reserva_uf + upfront_uf + saldo_pie_uf
pie_pagado_pct = pie_pagado_uf / tasacion_uf
pie_pagado_clp = pie_pagado_uf * valor_uf</t>
        </is>
      </c>
    </row>
    <row r="45" ht="32" customHeight="1">
      <c r="A45" s="5" t="inlineStr">
        <is>
          <t>7.5</t>
        </is>
      </c>
      <c r="B45" s="6" t="inlineStr">
        <is>
          <t>7. Tasacion</t>
        </is>
      </c>
      <c r="C45" s="5" t="inlineStr">
        <is>
          <t>CH ajustado (UF)</t>
        </is>
      </c>
      <c r="D45" s="6" t="inlineStr">
        <is>
          <t>Credito hipotecario calculado sobre el valor de tasacion.</t>
        </is>
      </c>
      <c r="E45" s="6">
        <f>E50 * F48
= Tasacion_UF * CH_ajustado_%</f>
        <v/>
      </c>
      <c r="F45" s="7" t="inlineStr">
        <is>
          <t>ch_ajustado_uf  = tasacion_uf * ch_ajustado_pct
ch_ajustado_clp = ch_ajustado_uf * valor_uf</t>
        </is>
      </c>
    </row>
    <row r="46" ht="42" customHeight="1">
      <c r="A46" s="8" t="inlineStr">
        <is>
          <t>7.6</t>
        </is>
      </c>
      <c r="B46" s="9" t="inlineStr">
        <is>
          <t>7. Tasacion</t>
        </is>
      </c>
      <c r="C46" s="8" t="inlineStr">
        <is>
          <t>Saldo Aporte Inmobiliaria</t>
        </is>
      </c>
      <c r="D46" s="9" t="inlineStr">
        <is>
          <t>Lo que queda del aporte inmobiliaria luego de restar pie pagado y CH ajustado.</t>
        </is>
      </c>
      <c r="E46" s="9">
        <f>E50 - E49 - E48
= Tasacion_UF - Pie_Pagado_UF - CH_ajustado_UF
% = Saldo_Aporte_UF / Tasacion_UF</f>
        <v/>
      </c>
      <c r="F46" s="7" t="inlineStr">
        <is>
          <t>saldo_aporte_uf  = tasacion_uf - pie_pagado_uf - ch_ajustado_uf
saldo_aporte_pct = saldo_aporte_uf / tasacion_uf
saldo_aporte_clp = saldo_aporte_uf * valor_uf</t>
        </is>
      </c>
    </row>
    <row r="47" ht="20" customHeight="1">
      <c r="A47" s="2" t="inlineStr">
        <is>
          <t>SECCION 8 — PLAN DE PAGO</t>
        </is>
      </c>
      <c r="B47" s="3" t="n"/>
      <c r="C47" s="3" t="n"/>
      <c r="D47" s="3" t="n"/>
      <c r="E47" s="3" t="n"/>
      <c r="F47" s="4" t="n"/>
    </row>
    <row r="48" ht="42" customHeight="1">
      <c r="A48" s="5" t="inlineStr">
        <is>
          <t>8.1</t>
        </is>
      </c>
      <c r="B48" s="6" t="inlineStr">
        <is>
          <t>8. Plan de pago</t>
        </is>
      </c>
      <c r="C48" s="5" t="inlineStr">
        <is>
          <t>Valor Total base del plan</t>
        </is>
      </c>
      <c r="D48" s="6" t="inlineStr">
        <is>
          <t>Es el total con descuento. Referencia para mostrar el plan completo.</t>
        </is>
      </c>
      <c r="E48" s="6">
        <f>E38  (Total_Desc_UF)
% = 100%
$ = Total_Desc_UF * Valor_UF</f>
        <v/>
      </c>
      <c r="F48" s="7" t="inlineStr">
        <is>
          <t>plan_valor_uf  = total_desc_uf
plan_valor_pct = 1.0
plan_valor_clp = total_desc_uf * valor_uf</t>
        </is>
      </c>
    </row>
    <row r="49" ht="42" customHeight="1">
      <c r="A49" s="8" t="inlineStr">
        <is>
          <t>8.2</t>
        </is>
      </c>
      <c r="B49" s="9" t="inlineStr">
        <is>
          <t>8. Plan de pago</t>
        </is>
      </c>
      <c r="C49" s="8" t="inlineStr">
        <is>
          <t>Upfront a la Promesa (plan)</t>
        </is>
      </c>
      <c r="D49" s="9" t="inlineStr">
        <is>
          <t>Mismo valor calculado en seccion 6.</t>
        </is>
      </c>
      <c r="E49" s="9">
        <f>E41
% = Upfront_UF / Total_Desc_UF</f>
        <v/>
      </c>
      <c r="F49" s="7" t="inlineStr">
        <is>
          <t>plan_upfront_uf  = upfront_uf
plan_upfront_pct = upfront_uf / total_desc_uf
plan_upfront_clp = upfront_clp</t>
        </is>
      </c>
    </row>
    <row r="50" ht="42" customHeight="1">
      <c r="A50" s="5" t="inlineStr">
        <is>
          <t>8.3</t>
        </is>
      </c>
      <c r="B50" s="6" t="inlineStr">
        <is>
          <t>8. Plan de pago</t>
        </is>
      </c>
      <c r="C50" s="5" t="inlineStr">
        <is>
          <t>Pie Pendiente</t>
        </is>
      </c>
      <c r="D50" s="6" t="inlineStr">
        <is>
          <t>Total de pie a desembolsar: Reserva + Upfront + Saldo.</t>
        </is>
      </c>
      <c r="E50" s="6">
        <f>E49  (= Pie_Pagado_UF = Reserva+Upfront+Saldo)
% = Pie_Pendiente_UF / Total_Desc_UF</f>
        <v/>
      </c>
      <c r="F50" s="7" t="inlineStr">
        <is>
          <t>pie_pendiente_uf  = pie_pagado_uf
pie_pendiente_pct = pie_pendiente_uf / total_desc_uf
pie_pendiente_clp = pie_pendiente_uf * valor_uf</t>
        </is>
      </c>
    </row>
    <row r="51" ht="32" customHeight="1">
      <c r="A51" s="8" t="inlineStr">
        <is>
          <t>8.4</t>
        </is>
      </c>
      <c r="B51" s="9" t="inlineStr">
        <is>
          <t>8. Plan de pago</t>
        </is>
      </c>
      <c r="C51" s="8" t="inlineStr">
        <is>
          <t>Numero de Cuotas del Pie</t>
        </is>
      </c>
      <c r="D51" s="9" t="inlineStr">
        <is>
          <t>Fuente: aux2 col AB (CUOTAS PIE). Default 60 cuotas (5 anos).</t>
        </is>
      </c>
      <c r="E51" s="9" t="inlineStr">
        <is>
          <t>D57 = 60 (valor por defecto)
Puede variar por unidad segun el stock.</t>
        </is>
      </c>
      <c r="F51" s="7" t="inlineStr">
        <is>
          <t>n_cuotas_pie = stock[numero_unidad].cuotas_pie
# default 60</t>
        </is>
      </c>
    </row>
    <row r="52" ht="42" customHeight="1">
      <c r="A52" s="5" t="inlineStr">
        <is>
          <t>8.5</t>
        </is>
      </c>
      <c r="B52" s="6" t="inlineStr">
        <is>
          <t>8. Plan de pago</t>
        </is>
      </c>
      <c r="C52" s="5" t="inlineStr">
        <is>
          <t>Valor de cada Cuota del Pie</t>
        </is>
      </c>
      <c r="D52" s="6" t="inlineStr">
        <is>
          <t>Pie pendiente dividido en cuotas iguales.</t>
        </is>
      </c>
      <c r="E52" s="6">
        <f>IFERROR(E56 / D57, "")
= Pie_Pendiente_UF / N_Cuotas
$ = Pie_Pendiente_$ / N_Cuotas</f>
        <v/>
      </c>
      <c r="F52" s="7" t="inlineStr">
        <is>
          <t>cuota_pie_uf  = pie_pendiente_uf  / n_cuotas_pie
cuota_pie_pct = cuota_pie_uf / total_desc_uf
cuota_pie_clp = pie_pendiente_clp / n_cuotas_pie</t>
        </is>
      </c>
    </row>
    <row r="53" ht="56" customHeight="1">
      <c r="A53" s="8" t="inlineStr">
        <is>
          <t>8.6</t>
        </is>
      </c>
      <c r="B53" s="9" t="inlineStr">
        <is>
          <t>8. Plan de pago</t>
        </is>
      </c>
      <c r="C53" s="8" t="inlineStr">
        <is>
          <t>Credito Hipotecario (Plan de Pago)</t>
        </is>
      </c>
      <c r="D53" s="9" t="inlineStr">
        <is>
          <t>Monto del CH en base al plan de pago. BASE para calcular cuota hipotecaria (PMT).</t>
        </is>
      </c>
      <c r="E53" s="9">
        <f>E54 - E56
= Total_Desc_UF - Pie_Pendiente_UF
% = ROUND(CH_Plan_UF / Total_Desc_UF, 2)
$ = CH_Plan_UF * Valor_UF  &lt;- BASE DEL PMT</f>
        <v/>
      </c>
      <c r="F53" s="7" t="inlineStr">
        <is>
          <t>ch_plan_uf  = total_desc_uf - pie_pendiente_uf
ch_plan_pct = round(ch_plan_uf / total_desc_uf, 2)
ch_plan_clp = ch_plan_uf * valor_uf
# ch_plan_clp -&gt; input del PMT en seccion 9</t>
        </is>
      </c>
    </row>
    <row r="54" ht="20" customHeight="1">
      <c r="A54" s="2" t="inlineStr">
        <is>
          <t>SECCION 9 — SIMULACION DE CREDITO HIPOTECARIO (3 escenarios CAE)</t>
        </is>
      </c>
      <c r="B54" s="3" t="n"/>
      <c r="C54" s="3" t="n"/>
      <c r="D54" s="3" t="n"/>
      <c r="E54" s="3" t="n"/>
      <c r="F54" s="4" t="n"/>
    </row>
    <row r="55" ht="56" customHeight="1">
      <c r="A55" s="5" t="inlineStr">
        <is>
          <t>9.1</t>
        </is>
      </c>
      <c r="B55" s="6" t="inlineStr">
        <is>
          <t>9. Credito Hip.</t>
        </is>
      </c>
      <c r="C55" s="5" t="inlineStr">
        <is>
          <t>Plazo en anos</t>
        </is>
      </c>
      <c r="D55" s="6" t="inlineStr">
        <is>
          <t>Configurable. Fuente de opciones: hoja 'aux', col F. Default 30.</t>
        </is>
      </c>
      <c r="E55" s="6" t="inlineStr">
        <is>
          <t>E63 = F63 = G63 = 30 (aplica igual a los 3 escenarios)
Opciones disponibles: 20, 25, 30 anos</t>
        </is>
      </c>
      <c r="F55" s="7" t="inlineStr">
        <is>
          <t>plazo_anios = input_seleccion(
  opciones=[20, 25, 30],
  default=30
)</t>
        </is>
      </c>
    </row>
    <row r="56" ht="56" customHeight="1">
      <c r="A56" s="8" t="inlineStr">
        <is>
          <t>9.2</t>
        </is>
      </c>
      <c r="B56" s="9" t="inlineStr">
        <is>
          <t>9. Credito Hip.</t>
        </is>
      </c>
      <c r="C56" s="8" t="inlineStr">
        <is>
          <t>CAE — 3 escenarios</t>
        </is>
      </c>
      <c r="D56" s="9" t="inlineStr">
        <is>
          <t>Tasa anual para cada escenario. Fuente de opciones: hoja 'aux', col C.</t>
        </is>
      </c>
      <c r="E56" s="9" t="inlineStr">
        <is>
          <t>Escenario 1: E64 = 4.0%
Escenario 2: F64 = 4.5%
Escenario 3: G64 = 5.0%
Opciones: 3.5%, 4%, 4.5%, 5%</t>
        </is>
      </c>
      <c r="F56" s="7" t="inlineStr">
        <is>
          <t>cae_1 = input_seleccion([3.5,4,4.5,5], default=4.0) / 100
cae_2 = input_seleccion([3.5,4,4.5,5], default=4.5) / 100
cae_3 = input_seleccion([3.5,4,4.5,5], default=5.0) / 100</t>
        </is>
      </c>
    </row>
    <row r="57" ht="112" customHeight="1">
      <c r="A57" s="5" t="inlineStr">
        <is>
          <t>9.3</t>
        </is>
      </c>
      <c r="B57" s="6" t="inlineStr">
        <is>
          <t>9. Credito Hip.</t>
        </is>
      </c>
      <c r="C57" s="5" t="inlineStr">
        <is>
          <t>Cuota mensual CH (CLP)</t>
        </is>
      </c>
      <c r="D57" s="6" t="inlineStr">
        <is>
          <t>Funcion financiera PMT. Calcula cuota mensual de amortizacion. Redondeado 6 decimales.</t>
        </is>
      </c>
      <c r="E57" s="6">
        <f>IFERROR(ROUND(PMT(CAE/12, Plazo*12, -CH_Plan_$), 6), "")
Aplicar para cada escenario con su propio CAE.
Base: ch_plan_clp (CLP) de regla 8.6</f>
        <v/>
      </c>
      <c r="F57" s="7" t="inlineStr">
        <is>
          <t>def cuota_ch(cae, plazo_anios, ch_clp):
    r = cae / 12
    n = plazo_anios * 12
    return round(ch_clp * r / (1 - (1+r)**-n), 6)
cuota_ch1_clp = cuota_ch(cae_1, plazo_anios, ch_plan_clp)
cuota_ch2_clp = cuota_ch(cae_2, plazo_anios, ch_plan_clp)
cuota_ch3_clp = cuota_ch(cae_3, plazo_anios, ch_plan_clp)</t>
        </is>
      </c>
    </row>
    <row r="58" ht="42" customHeight="1">
      <c r="A58" s="8" t="inlineStr">
        <is>
          <t>9.4</t>
        </is>
      </c>
      <c r="B58" s="9" t="inlineStr">
        <is>
          <t>9. Credito Hip.</t>
        </is>
      </c>
      <c r="C58" s="8" t="inlineStr">
        <is>
          <t>Cuota mensual CH (UF)</t>
        </is>
      </c>
      <c r="D58" s="9" t="inlineStr">
        <is>
          <t>Conversion de la cuota a UF dividiendo por el valor UF del dia.</t>
        </is>
      </c>
      <c r="E58" s="9">
        <f>IFERROR(Cuota_CH_$ / Valor_UF, "")</f>
        <v/>
      </c>
      <c r="F58" s="7" t="inlineStr">
        <is>
          <t>cuota_ch1_uf = cuota_ch1_clp / valor_uf
cuota_ch2_uf = cuota_ch2_clp / valor_uf
cuota_ch3_uf = cuota_ch3_clp / valor_uf</t>
        </is>
      </c>
    </row>
    <row r="59" ht="20" customHeight="1">
      <c r="A59" s="2" t="inlineStr">
        <is>
          <t>SECCION 10 — FLUJO MENSUAL (arriendo vs cuota)</t>
        </is>
      </c>
      <c r="B59" s="3" t="n"/>
      <c r="C59" s="3" t="n"/>
      <c r="D59" s="3" t="n"/>
      <c r="E59" s="3" t="n"/>
      <c r="F59" s="4" t="n"/>
    </row>
    <row r="60" ht="56" customHeight="1">
      <c r="A60" s="5" t="inlineStr">
        <is>
          <t>10.1</t>
        </is>
      </c>
      <c r="B60" s="6" t="inlineStr">
        <is>
          <t>10. Flujo</t>
        </is>
      </c>
      <c r="C60" s="5" t="inlineStr">
        <is>
          <t>Arriendo estimado mensual (CLP)</t>
        </is>
      </c>
      <c r="D60" s="6" t="inlineStr">
        <is>
          <t>Ingresado manualmente. Un valor por escenario. Defaults de ejemplo.</t>
        </is>
      </c>
      <c r="E60" s="6" t="inlineStr">
        <is>
          <t>Escenario 1: E70 = $380.000
Escenario 2: F70 = $390.000
Escenario 3: G70 = $400.000</t>
        </is>
      </c>
      <c r="F60" s="7" t="inlineStr">
        <is>
          <t>arriendo_1_clp = input_manual(default=380000)
arriendo_2_clp = input_manual(default=390000)
arriendo_3_clp = input_manual(default=400000)
-&gt; Campos numericos editables en CLP</t>
        </is>
      </c>
    </row>
    <row r="61" ht="42" customHeight="1">
      <c r="A61" s="8" t="inlineStr">
        <is>
          <t>10.2</t>
        </is>
      </c>
      <c r="B61" s="9" t="inlineStr">
        <is>
          <t>10. Flujo</t>
        </is>
      </c>
      <c r="C61" s="8" t="inlineStr">
        <is>
          <t>Cuota CH en el flujo</t>
        </is>
      </c>
      <c r="D61" s="9" t="inlineStr">
        <is>
          <t>Referencia directa a la cuota calculada en seccion 9.</t>
        </is>
      </c>
      <c r="E61" s="9">
        <f>E65 / =F65 / =G65</f>
        <v/>
      </c>
      <c r="F61" s="7" t="inlineStr">
        <is>
          <t>flujo_cuota_1 = cuota_ch1_clp
flujo_cuota_2 = cuota_ch2_clp
flujo_cuota_3 = cuota_ch3_clp</t>
        </is>
      </c>
    </row>
    <row r="62" ht="42" customHeight="1">
      <c r="A62" s="5" t="inlineStr">
        <is>
          <t>10.3</t>
        </is>
      </c>
      <c r="B62" s="6" t="inlineStr">
        <is>
          <t>10. Flujo</t>
        </is>
      </c>
      <c r="C62" s="5" t="inlineStr">
        <is>
          <t>Flujo mensual neto</t>
        </is>
      </c>
      <c r="D62" s="6" t="inlineStr">
        <is>
          <t>Diferencia entre arriendo y cuota. Positivo: arriendo cubre cuota. Negativo: propietario pone diferencia.</t>
        </is>
      </c>
      <c r="E62" s="6">
        <f>IFERROR(Arriendo_$ - Cuota_CH_$, "")</f>
        <v/>
      </c>
      <c r="F62" s="7" t="inlineStr">
        <is>
          <t>flujo_1_clp = arriendo_1_clp - cuota_ch1_clp
flujo_2_clp = arriendo_2_clp - cuota_ch2_clp
flujo_3_clp = arriendo_3_clp - cuota_ch3_clp</t>
        </is>
      </c>
    </row>
    <row r="63" ht="20" customHeight="1">
      <c r="A63" s="2" t="inlineStr">
        <is>
          <t>SECCION 11 — EVALUACION A 5 ANOS</t>
        </is>
      </c>
      <c r="B63" s="3" t="n"/>
      <c r="C63" s="3" t="n"/>
      <c r="D63" s="3" t="n"/>
      <c r="E63" s="3" t="n"/>
      <c r="F63" s="4" t="n"/>
    </row>
    <row r="64" ht="56" customHeight="1">
      <c r="A64" s="5" t="inlineStr">
        <is>
          <t>11.1</t>
        </is>
      </c>
      <c r="B64" s="6" t="inlineStr">
        <is>
          <t>11. Evaluacion 5a</t>
        </is>
      </c>
      <c r="C64" s="5" t="inlineStr">
        <is>
          <t>Flujo Acumulado a 5 anos</t>
        </is>
      </c>
      <c r="D64" s="6" t="inlineStr">
        <is>
          <t>Se asumen 11 meses de arriendo por ano (1 mes vacio/ano = constante del modelo).</t>
        </is>
      </c>
      <c r="E64" s="6">
        <f>IFERROR(Flujo_$ * 11 * 5, "")
11 meses/ano * 5 anos = 55 meses</f>
        <v/>
      </c>
      <c r="F64" s="7" t="inlineStr">
        <is>
          <t>MESES_ARRIENDO_ANUAL = 11
flujo_acum_1 = flujo_1_clp * MESES_ARRIENDO_ANUAL * 5
flujo_acum_2 = flujo_2_clp * MESES_ARRIENDO_ANUAL * 5
flujo_acum_3 = flujo_3_clp * MESES_ARRIENDO_ANUAL * 5</t>
        </is>
      </c>
    </row>
    <row r="65" ht="154" customHeight="1">
      <c r="A65" s="8" t="inlineStr">
        <is>
          <t>11.2</t>
        </is>
      </c>
      <c r="B65" s="9" t="inlineStr">
        <is>
          <t>11. Evaluacion 5a</t>
        </is>
      </c>
      <c r="C65" s="8" t="inlineStr">
        <is>
          <t>CH Amortizado en 60 meses (con factor LTV)</t>
        </is>
      </c>
      <c r="D65" s="9" t="inlineStr">
        <is>
          <t>Capital amortizado en los primeros 60 meses, multiplicado por factor 0.67 (LTV banco).</t>
        </is>
      </c>
      <c r="E65" s="9" t="inlineStr">
        <is>
          <t>n = MIN(60, Plazo*12)
Si CAE = 0:
  Amort = CH_$ * n / (Plazo*12)
Si CAE &gt; 0:
  r = CAE/12
  Saldo = CH_$*(1+r)^n - Cuota*((1+r)^n-1)/r
  Amort = CH_$ - Saldo
Resultado = Amort * 0.67</t>
        </is>
      </c>
      <c r="F65" s="7" t="inlineStr">
        <is>
          <t>def ch_amortizado(cae, plazo_anios, ch_clp, cuota_clp, n=60):
    n = min(n, plazo_anios * 12)
    if cae == 0:
        return ch_clp * n / (plazo_anios * 12) * 0.67
    r = cae / 12
    saldo = ch_clp*(1+r)**n - cuota_clp*((1+r)**n-1)/r
    return (ch_clp - saldo) * 0.67
amort_1 = ch_amortizado(cae_1, plazo_anios, ch_plan_clp, cuota_ch1_clp)
amort_2 = ch_amortizado(cae_2, plazo_anios, ch_plan_clp, cuota_ch2_clp)
amort_3 = ch_amortizado(cae_3, plazo_anios, ch_plan_clp, cuota_ch3_clp)</t>
        </is>
      </c>
    </row>
    <row r="66" ht="32" customHeight="1">
      <c r="A66" s="5" t="inlineStr">
        <is>
          <t>11.3</t>
        </is>
      </c>
      <c r="B66" s="6" t="inlineStr">
        <is>
          <t>11. Evaluacion 5a</t>
        </is>
      </c>
      <c r="C66" s="5" t="inlineStr">
        <is>
          <t>Pie Pagado Total (CLP)</t>
        </is>
      </c>
      <c r="D66" s="6" t="inlineStr">
        <is>
          <t>Pie total en CLP. Igual para los 3 escenarios.</t>
        </is>
      </c>
      <c r="E66" s="6">
        <f>$G$39 = Pie_Total_UF * Valor_UF</f>
        <v/>
      </c>
      <c r="F66" s="7" t="inlineStr">
        <is>
          <t>pie_pagado_total_clp = pie_total_uf * valor_uf</t>
        </is>
      </c>
    </row>
    <row r="67" ht="32" customHeight="1">
      <c r="A67" s="8" t="inlineStr">
        <is>
          <t>11.4</t>
        </is>
      </c>
      <c r="B67" s="9" t="inlineStr">
        <is>
          <t>11. Evaluacion 5a</t>
        </is>
      </c>
      <c r="C67" s="8" t="inlineStr">
        <is>
          <t>Plusvalia Anual Estimada (%)</t>
        </is>
      </c>
      <c r="D67" s="9" t="inlineStr">
        <is>
          <t>Revalorizacion anual del inmueble. Editable. Default 2%, igual para los 3 escenarios.</t>
        </is>
      </c>
      <c r="E67" s="9" t="inlineStr">
        <is>
          <t>E79 = F79 = G79 = 2%</t>
        </is>
      </c>
      <c r="F67" s="7" t="inlineStr">
        <is>
          <t>plusvalia_anual_pct = input_manual(default=0.02)
-&gt; Campo editable, aplica igual a los 3 escenarios</t>
        </is>
      </c>
    </row>
    <row r="68" ht="32" customHeight="1">
      <c r="A68" s="5" t="inlineStr">
        <is>
          <t>11.5</t>
        </is>
      </c>
      <c r="B68" s="6" t="inlineStr">
        <is>
          <t>11. Evaluacion 5a</t>
        </is>
      </c>
      <c r="C68" s="5" t="inlineStr">
        <is>
          <t>Plusvalia Acumulada a 5 anos</t>
        </is>
      </c>
      <c r="D68" s="6" t="inlineStr">
        <is>
          <t>Valorizacion total del inmueble en 5 anos en base a la plusvalia anual compuesta.</t>
        </is>
      </c>
      <c r="E68" s="6">
        <f>(1 + Plusvalia_%)^5 - 1</f>
        <v/>
      </c>
      <c r="F68" s="7" t="inlineStr">
        <is>
          <t>plusvalia_acum = (1 + plusvalia_anual_pct)**5 - 1</t>
        </is>
      </c>
    </row>
    <row r="69" ht="84" customHeight="1">
      <c r="A69" s="8" t="inlineStr">
        <is>
          <t>11.6</t>
        </is>
      </c>
      <c r="B69" s="9" t="inlineStr">
        <is>
          <t>11. Evaluacion 5a</t>
        </is>
      </c>
      <c r="C69" s="8" t="inlineStr">
        <is>
          <t>Precio Venta Ano 5</t>
        </is>
      </c>
      <c r="D69" s="9" t="inlineStr">
        <is>
          <t>Valor del inmueble en 5 anos con haircut del 5% por costos de transaccion/comision.</t>
        </is>
      </c>
      <c r="E69" s="9">
        <f>((1 + Plusvalia_acum) * Total_Desc_$) * 0.95
Factor 0.95: haircut 5% (comision de venta / costos transaccion)
Igual para los 3 escenarios.</f>
        <v/>
      </c>
      <c r="F69" s="7" t="inlineStr">
        <is>
          <t>HAIRCUT_VENTA = 0.95
precio_venta_5_clp = (
  (1 + plusvalia_acum) * total_desc_clp
  * HAIRCUT_VENTA
)
# Igual para los 3 escenarios</t>
        </is>
      </c>
    </row>
    <row r="70" ht="42" customHeight="1">
      <c r="A70" s="5" t="inlineStr">
        <is>
          <t>11.7</t>
        </is>
      </c>
      <c r="B70" s="6" t="inlineStr">
        <is>
          <t>11. Evaluacion 5a</t>
        </is>
      </c>
      <c r="C70" s="5" t="inlineStr">
        <is>
          <t>Total Invertido (CLP)</t>
        </is>
      </c>
      <c r="D70" s="6" t="inlineStr">
        <is>
          <t>Suma del flujo acumulado y el pie pagado. Si el flujo es negativo, aumenta la inversion.</t>
        </is>
      </c>
      <c r="E70" s="6" t="inlineStr">
        <is>
          <t>E82 = SUM(E76, E78)
= Flujo_Acum + Pie_Pagado_Total</t>
        </is>
      </c>
      <c r="F70" s="7" t="inlineStr">
        <is>
          <t>total_invertido_1 = flujo_acum_1 + pie_pagado_total_clp
total_invertido_2 = flujo_acum_2 + pie_pagado_total_clp
total_invertido_3 = flujo_acum_3 + pie_pagado_total_clp</t>
        </is>
      </c>
    </row>
    <row r="71" ht="42" customHeight="1">
      <c r="A71" s="8" t="inlineStr">
        <is>
          <t>11.8</t>
        </is>
      </c>
      <c r="B71" s="9" t="inlineStr">
        <is>
          <t>11. Evaluacion 5a</t>
        </is>
      </c>
      <c r="C71" s="8" t="inlineStr">
        <is>
          <t>Ganancia Total (CLP)</t>
        </is>
      </c>
      <c r="D71" s="9" t="inlineStr">
        <is>
          <t>Precio de venta en ano 5 mas el total invertido (flujo + pie).</t>
        </is>
      </c>
      <c r="E71" s="9" t="inlineStr">
        <is>
          <t>E83 = E81 + E82
= Precio_Venta_5 + Total_Invertido</t>
        </is>
      </c>
      <c r="F71" s="7" t="inlineStr">
        <is>
          <t>ganancia_1 = precio_venta_5_clp + total_invertido_1
ganancia_2 = precio_venta_5_clp + total_invertido_2
ganancia_3 = precio_venta_5_clp + total_invertido_3</t>
        </is>
      </c>
    </row>
    <row r="72" ht="42" customHeight="1">
      <c r="A72" s="5" t="inlineStr">
        <is>
          <t>11.9</t>
        </is>
      </c>
      <c r="B72" s="6" t="inlineStr">
        <is>
          <t>11. Evaluacion 5a</t>
        </is>
      </c>
      <c r="C72" s="5" t="inlineStr">
        <is>
          <t>Cap Rate</t>
        </is>
      </c>
      <c r="D72" s="6" t="inlineStr">
        <is>
          <t>Rentabilidad bruta anual por arriendo sobre el valor de tasacion. Mide el rendimiento puro del activo.</t>
        </is>
      </c>
      <c r="E72" s="6">
        <f>((Arriendo_$ * 11) / Valor_UF) / Tasacion_UF
= Arriendo_anual_UF / Tasacion_UF
(11 meses de arriendo / valor UF del inmueble)</f>
        <v/>
      </c>
      <c r="F72" s="7" t="inlineStr">
        <is>
          <t>cap_rate_1 = (arriendo_1_clp * 11 / valor_uf) / tasacion_uf
cap_rate_2 = (arriendo_2_clp * 11 / valor_uf) / tasacion_uf
cap_rate_3 = (arriendo_3_clp * 11 / valor_uf) / tasacion_uf</t>
        </is>
      </c>
    </row>
    <row r="73" ht="98" customHeight="1">
      <c r="A73" s="8" t="inlineStr">
        <is>
          <t>11.10</t>
        </is>
      </c>
      <c r="B73" s="9" t="inlineStr">
        <is>
          <t>11. Evaluacion 5a</t>
        </is>
      </c>
      <c r="C73" s="8" t="inlineStr">
        <is>
          <t>ROI a 5 Anos</t>
        </is>
      </c>
      <c r="D73" s="9" t="inlineStr">
        <is>
          <t>Retorno total de la inversion en 5 anos. Solo se calcula para el escenario 1 (CAE 4%).</t>
        </is>
      </c>
      <c r="E73" s="9" t="inlineStr">
        <is>
          <t>Si Aporte_Inmob_% = 0:
  ROI = ROUND((PVenta5_$ - Tasacion_$) / Tasacion_$, 4)
Si Aporte_Inmob_% &gt; 0:
  ROI = ROUND((PVenta5_$ - CH_Ajustado_$) / CH_Ajustado_$, 4)</t>
        </is>
      </c>
      <c r="F73" s="7" t="inlineStr">
        <is>
          <t># Solo escenario 1
if APORTE_INMOB_PCT == 0:
    roi_5a = round(
      (precio_venta_5_clp - tasacion_clp) / tasacion_clp, 4)
else:
    roi_5a = round(
      (precio_venta_5_clp - ch_ajustado_clp) / ch_ajustado_clp, 4)</t>
        </is>
      </c>
    </row>
    <row r="74" ht="32" customHeight="1">
      <c r="A74" s="5" t="inlineStr">
        <is>
          <t>11.11</t>
        </is>
      </c>
      <c r="B74" s="6" t="inlineStr">
        <is>
          <t>11. Evaluacion 5a</t>
        </is>
      </c>
      <c r="C74" s="5" t="inlineStr">
        <is>
          <t>ROI Anual Compuesto</t>
        </is>
      </c>
      <c r="D74" s="6" t="inlineStr">
        <is>
          <t>Tasa de retorno anual equivalente al ROI de 5 anos.</t>
        </is>
      </c>
      <c r="E74" s="6">
        <f>IFERROR(ROUND((1 + ROI_5anos)^(1/5) - 1, 4), "")</f>
        <v/>
      </c>
      <c r="F74" s="7" t="inlineStr">
        <is>
          <t>roi_anual = round((1 + roi_5a)**(1/5) - 1, 4)</t>
        </is>
      </c>
    </row>
    <row r="75" ht="20" customHeight="1">
      <c r="A75" s="2" t="inlineStr">
        <is>
          <t>SECCION 12 — DISCLAIMER LEGAL</t>
        </is>
      </c>
      <c r="B75" s="3" t="n"/>
      <c r="C75" s="3" t="n"/>
      <c r="D75" s="3" t="n"/>
      <c r="E75" s="3" t="n"/>
      <c r="F75" s="4" t="n"/>
    </row>
    <row r="76" ht="140" customHeight="1">
      <c r="A76" s="5" t="inlineStr">
        <is>
          <t>12.1</t>
        </is>
      </c>
      <c r="B76" s="6" t="inlineStr">
        <is>
          <t>12. Disclaimer</t>
        </is>
      </c>
      <c r="C76" s="5" t="inlineStr">
        <is>
          <t>Texto legal obligatorio</t>
        </is>
      </c>
      <c r="D76" s="6" t="inlineStr">
        <is>
          <t>Texto fijo que debe aparecer al pie de toda cotizacion generada. Definido en celda B90.</t>
        </is>
      </c>
      <c r="E76" s="6" t="inlineStr">
        <is>
          <t>Texto fijo (celda B90 de la hoja COTIZADOR):
'Esta cotizacion y su informacion son estimativas y esta
 basada en las condiciones comerciales establecidas por
 la inmobiliaria al momento de su generacion. VIVEPROP
 o el broker que genera esta cotizacion no se hacen
 responsables por eventuales diferencias entre lo aqui
 expresado y los valores que en definitiva determine la
 inmobiliaria para cada caso.'</t>
        </is>
      </c>
      <c r="F76" s="7" t="inlineStr">
        <is>
          <t>disclaimer = (
  'Esta cotizacion y su informacion son estimativas y
   esta basada en las condiciones comerciales establecidas
   por la inmobiliaria al momento de su generacion.
   VIVEPROP o el broker que genera esta cotizacion no se
   hacen responsables por eventuales diferencias entre lo
   aqui expresado y los valores que en definitiva determine
   la inmobiliaria para cada caso.'
)
-&gt; Mostrar siempre al pie de la cotizacion</t>
        </is>
      </c>
    </row>
  </sheetData>
  <mergeCells count="12">
    <mergeCell ref="A2:F2"/>
    <mergeCell ref="A33:F33"/>
    <mergeCell ref="A54:F54"/>
    <mergeCell ref="A47:F47"/>
    <mergeCell ref="A63:F63"/>
    <mergeCell ref="A75:F75"/>
    <mergeCell ref="A9:F9"/>
    <mergeCell ref="A22:F22"/>
    <mergeCell ref="A40:F40"/>
    <mergeCell ref="A4:F4"/>
    <mergeCell ref="A20:F20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2026-03-23T20:39:09Z</dcterms:created>
  <dcterms:modified xsi:type="dcterms:W3CDTF">2026-03-23T20:39:09Z</dcterms:modified>
</cp:coreProperties>
</file>