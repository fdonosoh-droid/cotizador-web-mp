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GLAS" sheetId="1" state="visible" r:id="rId1"/>
    <sheet name="REGLAS_ACTUALES_COTIZADO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FFFFFF"/>
      <sz val="11"/>
      <scheme val="minor"/>
    </font>
    <font>
      <name val="Calibri"/>
      <color rgb="FF000000"/>
      <sz val="10"/>
      <scheme val="minor"/>
    </font>
    <font>
      <name val="Calibri"/>
      <color rgb="FF0000FF"/>
      <sz val="10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b val="1"/>
      <color rgb="00FFFFFF"/>
      <sz val="12"/>
    </font>
    <font>
      <b val="1"/>
      <color rgb="00FFFFFF"/>
      <sz val="11"/>
    </font>
    <font>
      <b val="1"/>
      <color rgb="001F4E79"/>
      <sz val="10"/>
    </font>
    <font>
      <b val="1"/>
      <sz val="10"/>
    </font>
    <font>
      <sz val="10"/>
    </font>
  </fonts>
  <fills count="2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D9EAD3"/>
      </patternFill>
    </fill>
    <fill>
      <patternFill patternType="solid">
        <fgColor rgb="FFD0E4F7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D9EAD3"/>
      </patternFill>
    </fill>
    <fill>
      <patternFill patternType="solid">
        <fgColor rgb="FFD0E4F7"/>
      </patternFill>
    </fill>
    <fill>
      <patternFill patternType="solid">
        <fgColor rgb="FF1F4E7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4F7"/>
        <bgColor indexed="6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9EAD3"/>
      </patternFill>
    </fill>
    <fill>
      <patternFill patternType="solid">
        <fgColor rgb="00D0E4F7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4" fillId="6" borderId="3" applyAlignment="1" pivotButton="0" quotePrefix="0" xfId="0">
      <alignment horizontal="center" vertical="top" wrapText="1"/>
    </xf>
    <xf numFmtId="0" fontId="5" fillId="7" borderId="3" applyAlignment="1" pivotButton="0" quotePrefix="0" xfId="0">
      <alignment vertical="top" wrapText="1"/>
    </xf>
    <xf numFmtId="0" fontId="5" fillId="8" borderId="3" applyAlignment="1" pivotButton="0" quotePrefix="0" xfId="0">
      <alignment vertical="top" wrapText="1"/>
    </xf>
    <xf numFmtId="0" fontId="5" fillId="9" borderId="3" applyAlignment="1" pivotButton="0" quotePrefix="0" xfId="0">
      <alignment vertical="top" wrapText="1"/>
    </xf>
    <xf numFmtId="0" fontId="1" fillId="10" borderId="2" applyAlignment="1" pivotButton="0" quotePrefix="0" xfId="0">
      <alignment horizontal="center" vertical="top" wrapText="1"/>
    </xf>
    <xf numFmtId="0" fontId="6" fillId="10" borderId="2" applyAlignment="1" pivotButton="0" quotePrefix="0" xfId="0">
      <alignment horizontal="center"/>
    </xf>
    <xf numFmtId="4" fontId="8" fillId="11" borderId="2" applyAlignment="1" pivotButton="0" quotePrefix="0" xfId="0">
      <alignment horizontal="center"/>
    </xf>
    <xf numFmtId="9" fontId="8" fillId="11" borderId="2" applyAlignment="1" pivotButton="0" quotePrefix="0" xfId="0">
      <alignment horizontal="center"/>
    </xf>
    <xf numFmtId="4" fontId="7" fillId="11" borderId="2" applyAlignment="1" pivotButton="0" quotePrefix="0" xfId="0">
      <alignment horizontal="center"/>
    </xf>
    <xf numFmtId="4" fontId="8" fillId="12" borderId="2" applyAlignment="1" pivotButton="0" quotePrefix="0" xfId="0">
      <alignment horizontal="center"/>
    </xf>
    <xf numFmtId="9" fontId="8" fillId="12" borderId="2" applyAlignment="1" pivotButton="0" quotePrefix="0" xfId="0">
      <alignment horizontal="center"/>
    </xf>
    <xf numFmtId="4" fontId="7" fillId="12" borderId="2" applyAlignment="1" pivotButton="0" quotePrefix="0" xfId="0">
      <alignment horizontal="center"/>
    </xf>
    <xf numFmtId="4" fontId="8" fillId="13" borderId="2" applyAlignment="1" pivotButton="0" quotePrefix="0" xfId="0">
      <alignment horizontal="center"/>
    </xf>
    <xf numFmtId="9" fontId="8" fillId="13" borderId="2" applyAlignment="1" pivotButton="0" quotePrefix="0" xfId="0">
      <alignment horizontal="center"/>
    </xf>
    <xf numFmtId="4" fontId="7" fillId="13" borderId="2" applyAlignment="1" pivotButton="0" quotePrefix="0" xfId="0">
      <alignment horizontal="center"/>
    </xf>
    <xf numFmtId="0" fontId="11" fillId="14" borderId="4" applyAlignment="1" pivotButton="0" quotePrefix="0" xfId="0">
      <alignment horizontal="center" vertical="center" wrapText="1"/>
    </xf>
    <xf numFmtId="0" fontId="12" fillId="15" borderId="4" applyAlignment="1" pivotButton="0" quotePrefix="0" xfId="0">
      <alignment horizontal="center" vertical="center" wrapText="1"/>
    </xf>
    <xf numFmtId="0" fontId="13" fillId="16" borderId="4" applyAlignment="1" pivotButton="0" quotePrefix="0" xfId="0">
      <alignment horizontal="center" vertical="center" wrapText="1"/>
    </xf>
    <xf numFmtId="0" fontId="14" fillId="17" borderId="4" applyAlignment="1" pivotButton="0" quotePrefix="0" xfId="0">
      <alignment vertical="top" wrapText="1"/>
    </xf>
    <xf numFmtId="0" fontId="15" fillId="17" borderId="4" applyAlignment="1" pivotButton="0" quotePrefix="0" xfId="0">
      <alignment vertical="top" wrapText="1"/>
    </xf>
    <xf numFmtId="0" fontId="14" fillId="16" borderId="4" applyAlignment="1" pivotButton="0" quotePrefix="0" xfId="0">
      <alignment horizontal="center" vertical="center" wrapText="1"/>
    </xf>
    <xf numFmtId="0" fontId="14" fillId="16" borderId="4" applyAlignment="1" pivotButton="0" quotePrefix="0" xfId="0">
      <alignment vertical="top" wrapText="1"/>
    </xf>
    <xf numFmtId="0" fontId="15" fillId="18" borderId="4" applyAlignment="1" pivotButton="0" quotePrefix="0" xfId="0">
      <alignment vertical="top" wrapText="1"/>
    </xf>
    <xf numFmtId="0" fontId="15" fillId="19" borderId="4" applyAlignment="1" pivotButton="0" quotePrefix="0" xfId="0">
      <alignment vertical="top" wrapText="1"/>
    </xf>
    <xf numFmtId="0" fontId="15" fillId="20" borderId="4" applyAlignment="1" pivotButton="0" quotePrefix="0" xfId="0">
      <alignment vertical="top" wrapText="1"/>
    </xf>
    <xf numFmtId="0" fontId="15" fillId="21" borderId="4" applyAlignment="1" pivotButton="0" quotePrefix="0" xfId="0">
      <alignment vertical="top" wrapText="1"/>
    </xf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Felipe Donoso</author>
  </authors>
  <commentList>
    <comment ref="L2" authorId="0" shapeId="0">
      <text>
        <t>Felipe Donoso:
MAESTRA: Tasación = ValorVenta×(1-%Pie)/(1-%Pie-%BonoPie), BonoPie = Tasación × %BonoPie</t>
      </text>
    </comment>
    <comment ref="L3" authorId="0" shapeId="0">
      <text>
        <t>Felipe Donoso:
INGEVEC: BonoPie = Precio Lista DEPTO × %BonoPie</t>
      </text>
    </comment>
    <comment ref="L4" authorId="0" shapeId="0">
      <text>
        <t>Felipe Donoso:
URMENETA: BonoPie = Precio Lista TOTAL × %BonoPie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topLeftCell="D1" workbookViewId="0">
      <pane ySplit="1" topLeftCell="A2" activePane="bottomLeft" state="frozen"/>
      <selection pane="bottomLeft" activeCell="L3" sqref="L3"/>
    </sheetView>
  </sheetViews>
  <sheetFormatPr baseColWidth="8" defaultRowHeight="14.4"/>
  <cols>
    <col width="22" customWidth="1" min="1" max="1"/>
    <col width="52" customWidth="1" min="2" max="4"/>
    <col width="65" customWidth="1" min="5" max="5"/>
    <col width="17" bestFit="1" customWidth="1" min="6" max="6"/>
    <col width="16.6640625" bestFit="1" customWidth="1" min="7" max="7"/>
    <col width="18.5546875" bestFit="1" customWidth="1" min="8" max="8"/>
    <col width="5.5546875" bestFit="1" customWidth="1" min="9" max="9"/>
    <col width="11.109375" bestFit="1" customWidth="1" min="10" max="10"/>
    <col width="7.6640625" bestFit="1" customWidth="1" min="11" max="11"/>
    <col width="13.33203125" bestFit="1" customWidth="1" min="12" max="12"/>
  </cols>
  <sheetData>
    <row r="1" ht="22.05" customHeight="1">
      <c r="A1" s="1" t="inlineStr">
        <is>
          <t>INMOBILIARIA</t>
        </is>
      </c>
      <c r="B1" s="1" t="inlineStr">
        <is>
          <t>FORMULA PIE</t>
        </is>
      </c>
      <c r="C1" s="1" t="inlineStr">
        <is>
          <t>FORMULA BONO PIE</t>
        </is>
      </c>
      <c r="D1" s="1" t="inlineStr">
        <is>
          <t>FORMULA CRÉDITO HIPOTECARIO</t>
        </is>
      </c>
      <c r="E1" s="8" t="inlineStr">
        <is>
          <t>EJEMPLO DE CALCULO (con valores reales)</t>
        </is>
      </c>
      <c r="F1" s="12" t="inlineStr">
        <is>
          <t>VALOR DEPTO (UF)</t>
        </is>
      </c>
      <c r="G1" s="12" t="inlineStr">
        <is>
          <t>VALOR ESTAC (UF)</t>
        </is>
      </c>
      <c r="H1" s="13" t="inlineStr">
        <is>
          <t>VALOR BODEGA (UF)</t>
        </is>
      </c>
      <c r="I1" s="13" t="inlineStr">
        <is>
          <t>% PIE</t>
        </is>
      </c>
      <c r="J1" s="13" t="inlineStr">
        <is>
          <t>% BONO PIE</t>
        </is>
      </c>
      <c r="K1" s="13" t="inlineStr">
        <is>
          <t>PIE (UF)</t>
        </is>
      </c>
      <c r="L1" s="13" t="inlineStr">
        <is>
          <t>BONO PIE (UF)</t>
        </is>
      </c>
    </row>
    <row r="2" ht="180" customHeight="1">
      <c r="A2" s="2" t="inlineStr">
        <is>
          <t>MAESTRA</t>
        </is>
      </c>
      <c r="B2" s="3" t="inlineStr">
        <is>
          <t>Pie Depto = Precio Desc. Depto × %Pie
Pie Conjuntos = Precio Lista (Estac+Bodega) × 20%
PIE TOTAL = Pie Depto + Pie Conjuntos
⚠ Bienes conjuntos SIEMPRE 20% independiente del %Pie del depto</t>
        </is>
      </c>
      <c r="C2" s="3" t="inlineStr">
        <is>
          <t>Fórmula Excel Calculadora BP+Mutuo (celdas D33/D35/D36):
  D33 = 1 − %Pie − %BonoPie
  Tasación (D35) = ValorVenta × (1−%Pie) / D33
  Bono Pie (D36) = Tasación × %BonoPie
Base de aplicación: % se aplica sobre TASACIÓN BANCO</t>
        </is>
      </c>
      <c r="D2" s="3" t="inlineStr">
        <is>
          <t>Crédito Hipotecario = Tasación Banco × 80% (LTV máximo especial)
Aporte Inmobiliaria = Tasación − Pie Total − Crédito Hipotecario
⚠ Regla de LTV 80% EXCLUSIVA de Maestra</t>
        </is>
      </c>
      <c r="E2" s="9" t="inlineStr">
        <is>
          <t>Datos de entrada:
  Precio lista depto : 3,690.00 UF
  Descuento          : 10%  -&gt;  Precio desc depto: 3,321.00 UF
  Sin bienes conjuntos
  %Pie: 10%  |  %Bono Pie: 10%
PIE:
  Pie depto     = 3,321.00 x 10% = 332.10 UF
  Pie conjuntos = 0 (sin bienes conjuntos)
  PIE TOTAL     = 332.10 UF  ($13,233,521)
BONO PIE (Formula D35/D36 Excel):
  D33 = 1 - 10% - 10% = 0.80
  Tasacion (D35) = 3,321.00 x (1-10%) / 0.80 = 3,736.12 UF
  Bono Pie (D36) = 3,736.12 x 10% = 373.61 UF
CREDITO HIPOTECARIO:
  Tasacion Banco = 3,736.12 UF  ($148,876,910)
  Credito Hip.   = 3,736.12 x 80% = 2,988.90 UF  ($119,101,687)
  Aporte Inmob.  = 3,736.12 - 332.10 - 2,988.90 = 415.12 UF  ($16,541,702)
  % Aporte real  = 11.1% de tasacion</t>
        </is>
      </c>
      <c r="F2" s="14" t="n">
        <v>3321</v>
      </c>
      <c r="G2" s="14" t="n">
        <v>0</v>
      </c>
      <c r="H2" s="14" t="n">
        <v>0</v>
      </c>
      <c r="I2" s="15" t="n">
        <v>0.1</v>
      </c>
      <c r="J2" s="15" t="n">
        <v>0.1</v>
      </c>
      <c r="K2" s="16">
        <f>F2*I2+(G2+H2)*0.2</f>
        <v/>
      </c>
      <c r="L2" s="16">
        <f>(F2+G2+H2)*(1-I2)/(1-I2-J2)*J2</f>
        <v/>
      </c>
    </row>
    <row r="3" ht="180" customHeight="1">
      <c r="A3" s="4" t="inlineStr">
        <is>
          <t>INGEVEC
(y resto de inmobiliarias
no especificadas)</t>
        </is>
      </c>
      <c r="B3" s="5" t="inlineStr">
        <is>
          <t>Pie Depto = Precio Desc. Depto × %Pie
Pie Conjuntos = Precio Lista (Estac+Bodega) × 20%
PIE TOTAL = Pie Depto + Pie Conjuntos
⚠ Bienes conjuntos SIEMPRE 20% independiente del %Pie del depto</t>
        </is>
      </c>
      <c r="C3" s="5" t="inlineStr">
        <is>
          <t>Bono Pie = Precio Lista DEPARTAMENTO × %BonoPie
Tasación Banco = Valor de Venta + Bono Pie
Base de aplicación: % se aplica sobre PRECIO LISTA DEPTO</t>
        </is>
      </c>
      <c r="D3" s="5" t="inlineStr">
        <is>
          <t>Crédito Hipotecario = Valor de Venta − Pie Total − Aporte Inmobiliaria
Aporte Inmobiliaria = Bono Pie calculado
% mostrado = %BonoPie de condiciones comerciales</t>
        </is>
      </c>
      <c r="E3" s="10" t="inlineStr">
        <is>
          <t>Datos de entrada:
  Precio lista depto : 4,253.00 UF
  Precio lista estac : 390.00 UF
  Precio lista bodega: 205.00 UF
  Sin descuento  -&gt;  Valor de Venta: 4,848.00 UF
  %Pie depto: 0%  |  %Bono Pie: 20%
PIE:
  Pie depto     = 4,253.00 x 0% = 0.00 UF
  Pie conjuntos = (390.00 + 205.00) x 20% = 119.00 UF
  PIE TOTAL     = 0.00 + 119.00 = 119.00 UF  ($4,741,912)
BONO PIE (base: precio lista DEPTO):
  Bono Pie  = 4,253.00 x 20% = 850.60 UF  ($33,894,709)
  Tasacion  = 4,848.00 + 850.60 = 5,698.60 UF  ($227,077,813)
CREDITO HIPOTECARIO:
  Tasacion Banco = 5,698.60 UF
  Credito Hip.   = 4,848.00 - 119.00 - 850.60 = 3,878.40 UF  ($154,546,483)
  Aporte Inmob.  = 850.60 UF  (20% condiciones comerciales)</t>
        </is>
      </c>
      <c r="F3" s="17" t="n">
        <v>4253</v>
      </c>
      <c r="G3" s="17" t="n">
        <v>390</v>
      </c>
      <c r="H3" s="17" t="n">
        <v>205</v>
      </c>
      <c r="I3" s="18" t="n">
        <v>0</v>
      </c>
      <c r="J3" s="18" t="n">
        <v>0.2</v>
      </c>
      <c r="K3" s="19">
        <f>F3*I3+(G3+H3)*0.2</f>
        <v/>
      </c>
      <c r="L3" s="19">
        <f>F3*J3</f>
        <v/>
      </c>
    </row>
    <row r="4" ht="180" customHeight="1">
      <c r="A4" s="6" t="inlineStr">
        <is>
          <t>URMENETA</t>
        </is>
      </c>
      <c r="B4" s="7" t="inlineStr">
        <is>
          <t>Pie Depto = Precio Desc. Depto × %Pie
Pie Conjuntos = Precio Lista (Estac+Bodega) × 20%
PIE TOTAL = Pie Depto + Pie Conjuntos
⚠ Bienes conjuntos SIEMPRE 20% independiente del %Pie del depto</t>
        </is>
      </c>
      <c r="C4" s="7" t="inlineStr">
        <is>
          <t>Bono Pie = Precio Lista TOTAL (Depto + Estac + Bodega) × %BonoPie
Tasación Banco = Valor de Venta + Bono Pie
Base de aplicación: % se aplica sobre PRECIO LISTA TOTAL (todas las unidades)</t>
        </is>
      </c>
      <c r="D4" s="7" t="inlineStr">
        <is>
          <t>Crédito Hipotecario = Valor de Venta − Pie Total − Aporte Inmobiliaria
Aporte Inmobiliaria = Bono Pie calculado
% mostrado = %BonoPie de condiciones comerciales</t>
        </is>
      </c>
      <c r="E4" s="11" t="inlineStr">
        <is>
          <t>Datos de entrada:
  Precio lista depto : 4,253.00 UF
  Precio lista estac : 390.00 UF
  Precio lista bodega: 205.00 UF
  Precio lista TOTAL : 4,848.00 UF
  Sin descuento  -&gt;  Valor de Venta: 4,848.00 UF
  %Pie depto: 5%  |  %Bono Pie: 15%
PIE:
  Pie depto     = 4,253.00 x 5% = 212.65 UF
  Pie conjuntos = (390.00 + 205.00) x 20% = 119.00 UF
  PIE TOTAL     = 212.65 + 119.00 = 331.65 UF  ($13,215,589)
BONO PIE (base: precio lista TOTAL todas las unidades):
  Bono Pie  = 4,848.00 x 15% = 727.20 UF  ($28,977,466)
  Tasacion  = 4,848.00 + 727.20 = 5,575.20 UF  ($222,160,570)
CREDITO HIPOTECARIO:
  Tasacion Banco = 5,575.20 UF
  Credito Hip.   = 4,848.00 - 331.65 - 727.20 = 3,789.15 UF  ($150,990,049)
  Aporte Inmob.  = 727.20 UF  (15% condiciones comerciales)</t>
        </is>
      </c>
      <c r="F4" s="20" t="n">
        <v>4253</v>
      </c>
      <c r="G4" s="20" t="n">
        <v>390</v>
      </c>
      <c r="H4" s="20" t="n">
        <v>205</v>
      </c>
      <c r="I4" s="21" t="n">
        <v>0.05</v>
      </c>
      <c r="J4" s="21" t="n">
        <v>0.15</v>
      </c>
      <c r="K4" s="22">
        <f>F4*I4+(G4+H4)*0.2</f>
        <v/>
      </c>
      <c r="L4" s="22">
        <f>(F4+G4+H4)*J4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 ht="28" customHeight="1">
      <c r="A1" s="23" t="inlineStr">
        <is>
          <t>REGLAS ACTUALES DE CÁLCULO — COTIZADOR MERCADO PRIMARIO</t>
        </is>
      </c>
    </row>
    <row r="2" ht="20" customHeight="1">
      <c r="A2" s="24" t="inlineStr">
        <is>
          <t>REGLA COMÚN — APLICA A TODAS LAS INMOBILIARIAS</t>
        </is>
      </c>
    </row>
    <row r="3" ht="18" customHeight="1">
      <c r="A3" s="25" t="inlineStr">
        <is>
          <t>CONCEPTO</t>
        </is>
      </c>
      <c r="B3" s="25" t="inlineStr">
        <is>
          <t>FÓRMULA / REGLA</t>
        </is>
      </c>
      <c r="C3" s="25" t="inlineStr">
        <is>
          <t>DETALLE</t>
        </is>
      </c>
      <c r="D3" s="25" t="inlineStr">
        <is>
          <t>CONDICIÓN</t>
        </is>
      </c>
      <c r="E3" s="25" t="inlineStr">
        <is>
          <t>FUENTE EN CÓDIGO</t>
        </is>
      </c>
    </row>
    <row r="4" ht="60" customHeight="1">
      <c r="A4" s="26" t="inlineStr">
        <is>
          <t>PIE TOTAL</t>
        </is>
      </c>
      <c r="B4" s="27" t="inlineStr">
        <is>
          <t>Pie Depto + Pie Conjuntos</t>
        </is>
      </c>
      <c r="C4" s="27" t="inlineStr">
        <is>
          <t>Pie Depto = Precio Desc. Depto x %Pie
Pie Conjuntos = Precio Lista (Estac+Bodega) x 20%</t>
        </is>
      </c>
      <c r="D4" s="27" t="inlineStr">
        <is>
          <t>Bienes conjuntos SIEMPRE 20%,
independiente del %Pie del depto</t>
        </is>
      </c>
      <c r="E4" s="27" t="inlineStr">
        <is>
          <t>cotizador.ts: pieTotalDeptoUF
+ pieTotalConjuntosUF</t>
        </is>
      </c>
    </row>
    <row r="5" ht="60" customHeight="1">
      <c r="A5" s="26" t="inlineStr">
        <is>
          <t>% PIE DEFAULT EN UI</t>
        </is>
      </c>
      <c r="B5" s="27" t="inlineStr">
        <is>
          <t>max(0, 20% - %BonoPie)</t>
        </is>
      </c>
      <c r="C5" s="27" t="inlineStr">
        <is>
          <t>Ejemplo: BonoPie=20% -&gt; Pie=0%
         BonoPie=15% -&gt; Pie=5%
         BonoPie=0%  -&gt; Pie=10%</t>
        </is>
      </c>
      <c r="D5" s="27" t="inlineStr">
        <is>
          <t>Solo cuando existe bono pie
en condiciones comerciales</t>
        </is>
      </c>
      <c r="E5" s="27" t="inlineStr">
        <is>
          <t>PanelCotizacion.tsx: useState
(unidad.bonoPie &gt; 0 ? ...)</t>
        </is>
      </c>
    </row>
    <row r="6" ht="60" customHeight="1">
      <c r="A6" s="26" t="inlineStr">
        <is>
          <t>UPFRONT PROMESA</t>
        </is>
      </c>
      <c r="B6" s="27" t="inlineStr">
        <is>
          <t>Bloqueado en 0%
cuando hay bono pie</t>
        </is>
      </c>
      <c r="C6" s="27" t="inlineStr">
        <is>
          <t>Si bonoPie &gt; 0 en condiciones
comerciales: control deshabilitado
y valor = 0%</t>
        </is>
      </c>
      <c r="D6" s="27" t="inlineStr">
        <is>
          <t>Aplica a todas las inmobiliarias
que tienen bono pie</t>
        </is>
      </c>
      <c r="E6" s="27" t="inlineStr">
        <is>
          <t>PanelCotizacion.tsx:
disabled={unidad.bonoPie &gt; 0}</t>
        </is>
      </c>
    </row>
    <row r="7" ht="60" customHeight="1">
      <c r="A7" s="26" t="inlineStr">
        <is>
          <t>DETECCIÓN DE INMOBILIARIA</t>
        </is>
      </c>
      <c r="B7" s="27" t="inlineStr">
        <is>
          <t>Por nombre de alianza
(case-insensitive)</t>
        </is>
      </c>
      <c r="C7" s="27" t="inlineStr">
        <is>
          <t>getTipoCalculoBono(alianza):
  "maestra"  -&gt; regla Maestra
  "urmeneta" -&gt; regla Urmeneta
  resto      -&gt; regla INGEVEC/default</t>
        </is>
      </c>
      <c r="D7" s="27" t="inlineStr">
        <is>
          <t>Comparacion con .includes()
sobre el nombre de alianza</t>
        </is>
      </c>
      <c r="E7" s="27" t="inlineStr">
        <is>
          <t>cotizadorConfig.ts:
getTipoCalculoBono()
getLtvMaxPct()</t>
        </is>
      </c>
    </row>
    <row r="9" ht="20" customHeight="1">
      <c r="A9" s="24" t="inlineStr">
        <is>
          <t>REGLAS ESPECÍFICAS POR INMOBILIARIA</t>
        </is>
      </c>
    </row>
    <row r="10" ht="16" customHeight="1">
      <c r="A10" s="28" t="inlineStr">
        <is>
          <t>Los campos en VERDE son comunes; los diferenciadores están resaltados por color de inmobiliaria</t>
        </is>
      </c>
    </row>
    <row r="11" ht="18" customHeight="1">
      <c r="A11" s="25" t="inlineStr">
        <is>
          <t>CONCEPTO</t>
        </is>
      </c>
      <c r="B11" s="25" t="inlineStr">
        <is>
          <t>MAESTRA</t>
        </is>
      </c>
      <c r="C11" s="25" t="inlineStr">
        <is>
          <t>INGEVEC (y resto default)</t>
        </is>
      </c>
      <c r="D11" s="25" t="inlineStr">
        <is>
          <t>URMENETA</t>
        </is>
      </c>
      <c r="E11" s="25" t="inlineStr">
        <is>
          <t>NOTAS</t>
        </is>
      </c>
    </row>
    <row r="12" ht="65" customHeight="1">
      <c r="A12" s="29" t="inlineStr">
        <is>
          <t>Detección</t>
        </is>
      </c>
      <c r="B12" s="30" t="inlineStr">
        <is>
          <t>alianza.includes("maestra")</t>
        </is>
      </c>
      <c r="C12" s="31" t="inlineStr">
        <is>
          <t>cualquier alias no reconocido
como Maestra ni Urmeneta</t>
        </is>
      </c>
      <c r="D12" s="32" t="inlineStr">
        <is>
          <t>alianza.includes("urmeneta")</t>
        </is>
      </c>
      <c r="E12" s="33" t="inlineStr">
        <is>
          <t>getTipoCalculoBono()
en cotizadorConfig.ts</t>
        </is>
      </c>
    </row>
    <row r="13" ht="65" customHeight="1">
      <c r="A13" s="29" t="inlineStr">
        <is>
          <t>tipoCalculoBono</t>
        </is>
      </c>
      <c r="B13" s="30" t="inlineStr">
        <is>
          <t>'maestra'</t>
        </is>
      </c>
      <c r="C13" s="31" t="inlineStr">
        <is>
          <t>'precio-lista-depto'</t>
        </is>
      </c>
      <c r="D13" s="32" t="inlineStr">
        <is>
          <t>'precio-lista-total'</t>
        </is>
      </c>
      <c r="E13" s="33" t="inlineStr">
        <is>
          <t>Valor pasado al motor
como input.tipoCalculoBono</t>
        </is>
      </c>
    </row>
    <row r="14" ht="65" customHeight="1">
      <c r="A14" s="29" t="inlineStr">
        <is>
          <t>LTV máximo banco
(ltvMaxPct)</t>
        </is>
      </c>
      <c r="B14" s="30" t="inlineStr">
        <is>
          <t>0.80  (80%)</t>
        </is>
      </c>
      <c r="C14" s="27" t="inlineStr">
        <is>
          <t>1.0  (sin límite especial)</t>
        </is>
      </c>
      <c r="D14" s="27" t="inlineStr">
        <is>
          <t>1.0  (sin límite especial)</t>
        </is>
      </c>
      <c r="E14" s="33" t="inlineStr">
        <is>
          <t>getLtvMaxPct(alianza)
en cotizadorConfig.ts</t>
        </is>
      </c>
    </row>
    <row r="15" ht="65" customHeight="1">
      <c r="A15" s="29" t="inlineStr">
        <is>
          <t>Base de cálculo
Bono Pie</t>
        </is>
      </c>
      <c r="B15" s="30" t="inlineStr">
        <is>
          <t>TASACIÓN BANCO
(% se aplica sobre tasación,
no sobre valor venta)</t>
        </is>
      </c>
      <c r="C15" s="31" t="inlineStr">
        <is>
          <t>PRECIO LISTA DEPTO
(solo departamento,
excluye bienes conjuntos)</t>
        </is>
      </c>
      <c r="D15" s="32" t="inlineStr">
        <is>
          <t>PRECIO LISTA TOTAL
(depto + estac + bodega)</t>
        </is>
      </c>
      <c r="E15" s="33" t="inlineStr">
        <is>
          <t>Diferencia clave
entre inmobiliarias</t>
        </is>
      </c>
    </row>
    <row r="16" ht="65" customHeight="1">
      <c r="A16" s="29" t="inlineStr">
        <is>
          <t>Fórmula Bono Pie (UF)</t>
        </is>
      </c>
      <c r="B16" s="30" t="inlineStr">
        <is>
          <t>D36: Tasación × %BonoPie
(Tasación se despeja primero en D35)</t>
        </is>
      </c>
      <c r="C16" s="31" t="inlineStr">
        <is>
          <t>PrecioListaDepto × %BonoPie</t>
        </is>
      </c>
      <c r="D16" s="32" t="inlineStr">
        <is>
          <t>PrecioListaTotal × %BonoPie</t>
        </is>
      </c>
      <c r="E16" s="33" t="inlineStr"/>
    </row>
    <row r="17" ht="65" customHeight="1">
      <c r="A17" s="29" t="inlineStr">
        <is>
          <t>Fórmula Tasación Banco</t>
        </is>
      </c>
      <c r="B17" s="30" t="inlineStr">
        <is>
          <t>D35: ValorVenta × (1-pie)
     / (1 - pie - bono%)
[Excel Calculadora BP+Mutuo]</t>
        </is>
      </c>
      <c r="C17" s="27" t="inlineStr">
        <is>
          <t>ValorVenta + BonoPieUF</t>
        </is>
      </c>
      <c r="D17" s="27" t="inlineStr">
        <is>
          <t>ValorVenta + BonoPieUF</t>
        </is>
      </c>
      <c r="E17" s="33" t="inlineStr">
        <is>
          <t>Maestra: fórmula
inversa (tasación despejada)</t>
        </is>
      </c>
    </row>
    <row r="18" ht="65" customHeight="1">
      <c r="A18" s="29" t="inlineStr">
        <is>
          <t>Fórmula
Crédito Hipotecario</t>
        </is>
      </c>
      <c r="B18" s="30" t="inlineStr">
        <is>
          <t>Tasación × 80%
(LTV máximo especial)</t>
        </is>
      </c>
      <c r="C18" s="27" t="inlineStr">
        <is>
          <t>ValorVenta - PieTotal - AporteInmob</t>
        </is>
      </c>
      <c r="D18" s="27" t="inlineStr">
        <is>
          <t>ValorVenta - PieTotal - AporteInmob</t>
        </is>
      </c>
      <c r="E18" s="33" t="inlineStr">
        <is>
          <t>Maestra tiene regla
exclusiva de LTV 80%</t>
        </is>
      </c>
    </row>
    <row r="19" ht="65" customHeight="1">
      <c r="A19" s="29" t="inlineStr">
        <is>
          <t>Aporte Inmobiliaria (UF)</t>
        </is>
      </c>
      <c r="B19" s="30" t="inlineStr">
        <is>
          <t>Tasación - PieTotal - CréditoHip
(residual, absorbe diferencia LTV)</t>
        </is>
      </c>
      <c r="C19" s="27" t="inlineStr">
        <is>
          <t>BonoPieUF calculado</t>
        </is>
      </c>
      <c r="D19" s="27" t="inlineStr">
        <is>
          <t>BonoPieUF calculado</t>
        </is>
      </c>
      <c r="E19" s="33" t="inlineStr"/>
    </row>
    <row r="20" ht="65" customHeight="1">
      <c r="A20" s="29" t="inlineStr">
        <is>
          <t>% display Aporte
(en tabla cotización)</t>
        </is>
      </c>
      <c r="B20" s="30" t="inlineStr">
        <is>
          <t>Calculado real:
saldoAporte / Tasación
(puede diferir del % nominal)</t>
        </is>
      </c>
      <c r="C20" s="31" t="inlineStr">
        <is>
          <t>%BonoPie de condiciones
comerciales (nominal)</t>
        </is>
      </c>
      <c r="D20" s="32" t="inlineStr">
        <is>
          <t>%BonoPie de condiciones
comerciales (nominal)</t>
        </is>
      </c>
      <c r="E20" s="33" t="inlineStr">
        <is>
          <t>Solo Maestra muestra
% real calculado</t>
        </is>
      </c>
    </row>
    <row r="22" ht="20" customHeight="1">
      <c r="A22" s="24" t="inlineStr">
        <is>
          <t>COMO AGREGAR UNA NUEVA INMOBILIARIA CON REGLA ESPECIAL</t>
        </is>
      </c>
    </row>
    <row r="23" ht="18" customHeight="1">
      <c r="A23" s="25" t="inlineStr">
        <is>
          <t>PASO</t>
        </is>
      </c>
      <c r="B23" s="25" t="inlineStr">
        <is>
          <t>ACCIÓN</t>
        </is>
      </c>
      <c r="C23" s="25" t="inlineStr">
        <is>
          <t>DETALLE</t>
        </is>
      </c>
      <c r="D23" s="25" t="inlineStr">
        <is>
          <t>CONDICIÓN</t>
        </is>
      </c>
      <c r="E23" s="25" t="inlineStr">
        <is>
          <t>ARCHIVO / LINEA</t>
        </is>
      </c>
    </row>
    <row r="24" ht="60" customHeight="1">
      <c r="A24" s="29" t="inlineStr">
        <is>
          <t>Paso 1 — Definir tipo
de cálculo</t>
        </is>
      </c>
      <c r="B24" s="27" t="inlineStr">
        <is>
          <t>Editar getTipoCalculoBono()
en lib/config/cotizadorConfig.ts</t>
        </is>
      </c>
      <c r="C24" s="33" t="inlineStr">
        <is>
          <t>Agregar:
  if (norm.includes('nombre_alianza'))
    return 'precio-lista-depto' | 'precio-lista-total' | 'maestra'</t>
        </is>
      </c>
      <c r="D24" s="33" t="inlineStr"/>
      <c r="E24" s="33" t="inlineStr">
        <is>
          <t>cotizadorConfig.ts
lineas 85-90</t>
        </is>
      </c>
    </row>
    <row r="25" ht="60" customHeight="1">
      <c r="A25" s="29" t="inlineStr">
        <is>
          <t>Paso 2 — Definir LTV
(si aplica)</t>
        </is>
      </c>
      <c r="B25" s="27" t="inlineStr">
        <is>
          <t>Editar getLtvMaxPct()
en lib/config/cotizadorConfig.ts</t>
        </is>
      </c>
      <c r="C25" s="33" t="inlineStr">
        <is>
          <t>Si el banco aplica LTV especial:
  return alianza.includes('x') ? LTV_X : 1.0</t>
        </is>
      </c>
      <c r="D25" s="33" t="inlineStr">
        <is>
          <t>Solo si el LTV difiere del estándar</t>
        </is>
      </c>
      <c r="E25" s="33" t="inlineStr">
        <is>
          <t>cotizadorConfig.ts
lineas 72-74</t>
        </is>
      </c>
    </row>
    <row r="26" ht="60" customHeight="1">
      <c r="A26" s="29" t="inlineStr">
        <is>
          <t>Paso 3 — Lógica de
cálculo nueva (si aplica)</t>
        </is>
      </c>
      <c r="B26" s="27" t="inlineStr">
        <is>
          <t>Agregar bloque en
lib/calculators/cotizador.ts</t>
        </is>
      </c>
      <c r="C26" s="33" t="inlineStr">
        <is>
          <t>En el bloque if/else de
tipoCalculoBono:
  } else if (tipoCalculoBono === 'nueva') {</t>
        </is>
      </c>
      <c r="D26" s="33" t="inlineStr">
        <is>
          <t>Solo si la fórmula difiere
de las 3 existentes</t>
        </is>
      </c>
      <c r="E26" s="33" t="inlineStr">
        <is>
          <t>cotizador.ts
lineas 220-250</t>
        </is>
      </c>
    </row>
    <row r="27" ht="60" customHeight="1">
      <c r="A27" s="29" t="inlineStr">
        <is>
          <t>Paso 4 — Documentar</t>
        </is>
      </c>
      <c r="B27" s="27" t="inlineStr">
        <is>
          <t>Actualizar REGLAS_PIE_Y_BONO_PIE.xlsx
y MAESTRO_DESARROLLO_COTIZADOR.md</t>
        </is>
      </c>
      <c r="C27" s="33" t="inlineStr"/>
      <c r="D27" s="33" t="inlineStr"/>
      <c r="E27" s="33" t="inlineStr"/>
    </row>
  </sheetData>
  <mergeCells count="5">
    <mergeCell ref="A2:E2"/>
    <mergeCell ref="A10:E10"/>
    <mergeCell ref="A1:E1"/>
    <mergeCell ref="A22:E22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2026-04-02T17:21:33Z</dcterms:created>
  <dcterms:modified xsi:type="dcterms:W3CDTF">2026-04-02T17:44:32Z</dcterms:modified>
  <cp:lastModifiedBy>Felipe Donoso</cp:lastModifiedBy>
</cp:coreProperties>
</file>