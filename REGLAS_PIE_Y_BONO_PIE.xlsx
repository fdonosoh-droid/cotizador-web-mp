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AI\cotizador-web-mp\"/>
    </mc:Choice>
  </mc:AlternateContent>
  <xr:revisionPtr revIDLastSave="0" documentId="13_ncr:1_{456361D2-E97B-447D-9849-96DA4C6CE8B2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REGLAS" sheetId="1" r:id="rId1"/>
    <sheet name="REGLAS_ACTUALES_COTIZADOR" sheetId="2" r:id="rId2"/>
    <sheet name="REGLAS_ACTUALES_COTIZADOR_POR_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3" l="1"/>
  <c r="N4" i="3"/>
  <c r="M4" i="3"/>
  <c r="L4" i="3"/>
  <c r="K4" i="3"/>
  <c r="O3" i="3"/>
  <c r="N3" i="3"/>
  <c r="M3" i="3"/>
  <c r="L3" i="3"/>
  <c r="K3" i="3"/>
  <c r="O2" i="3"/>
  <c r="N2" i="3"/>
  <c r="L2" i="3"/>
  <c r="M2" i="3"/>
  <c r="K2" i="3"/>
  <c r="L4" i="1"/>
  <c r="K4" i="1"/>
  <c r="L3" i="1"/>
  <c r="K3" i="1"/>
  <c r="L2" i="1"/>
  <c r="K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Donoso</author>
  </authors>
  <commentList>
    <comment ref="L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Felipe Donoso:
MAESTRA: Tasación = ValorVenta×(1-%Pie)/(1-%Pie-%BonoPie), BonoPie = Tasación × %BonoPie</t>
        </r>
      </text>
    </comment>
    <comment ref="L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Felipe Donoso:
INGEVEC: BonoPie = Precio Lista DEPTO × %BonoPie</t>
        </r>
      </text>
    </comment>
    <comment ref="L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Felipe Donoso:
URMENETA: BonoPie = Precio Lista TOTAL × %BonoPie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Donoso</author>
  </authors>
  <commentList>
    <comment ref="K2" authorId="0" shapeId="0" xr:uid="{07F4E457-50C9-4B6F-8A4A-25C41A146D16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PieTotal = PrecioDescDepto×%Pie + (Estac+Bod)×20%</t>
        </r>
      </text>
    </comment>
    <comment ref="L2" authorId="0" shapeId="0" xr:uid="{7538EC0D-FD0E-4BD8-8251-836955996896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BonoPie = Tasación × %BonoPie
(Base = Tasación Banco, NO precio lista)</t>
        </r>
      </text>
    </comment>
    <comment ref="M2" authorId="0" shapeId="0" xr:uid="{A136E94E-55EA-4333-96CB-4E46CAD1302C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Tasación = ValorVenta×(1-%Pie) / (1-%Pie-%BonoPie)
Fórmula inversa exclusiva de Maestra</t>
        </r>
      </text>
    </comment>
    <comment ref="N2" authorId="0" shapeId="0" xr:uid="{0989D29D-663A-4EC7-842E-A46D274AC444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Crédito = Tasación × 80% (LTV máx exclusivo Maestra)</t>
        </r>
      </text>
    </comment>
    <comment ref="O2" authorId="0" shapeId="0" xr:uid="{417E0495-0E34-41BA-94CA-654EAA04E913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Aporte = Tasación - PieTotal - CréditoHip
(residual, absorbe diferencia LTV)</t>
        </r>
      </text>
    </comment>
    <comment ref="K3" authorId="0" shapeId="0" xr:uid="{CE2312E9-2CCB-49C5-AD46-7B51BBAED8CC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PieTotal = PrecioDescDepto×%Pie + (Estac+Bod)×20%
(Igual para todas las inmobiliarias)</t>
        </r>
      </text>
    </comment>
    <comment ref="L3" authorId="0" shapeId="0" xr:uid="{EEC42276-C807-4792-BC4B-9DE52855A5B7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BonoPie = PrecioListaDepto × %BonoPie
(Base = Precio Lista DEPTO, no tasación)</t>
        </r>
      </text>
    </comment>
    <comment ref="M3" authorId="0" shapeId="0" xr:uid="{56431CEA-8931-4749-8E05-37738EEF6A8F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Tasación = ValorVenta + BonoPieUF</t>
        </r>
      </text>
    </comment>
    <comment ref="N3" authorId="0" shapeId="0" xr:uid="{9AE5BBB8-1AC4-4658-99BD-AC304DFD3C8D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Crédito = ValorVenta - PieTotal - AporteInmob
(AporteInmob = BonoPieUF para INGEVEC)</t>
        </r>
      </text>
    </comment>
    <comment ref="O3" authorId="0" shapeId="0" xr:uid="{EFF0023E-C7CD-44EE-9785-0354317678CA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Aporte = BonoPieUF calculado
(para INGEVEC, el aporte ES el bono pie)</t>
        </r>
      </text>
    </comment>
    <comment ref="K4" authorId="0" shapeId="0" xr:uid="{711ED577-2D31-4EDF-A6D1-39265BFD25F9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PieTotal = PrecioDescDepto×%Pie + (Estac+Bod)×20%
(Igual para todas las inmobiliarias)</t>
        </r>
      </text>
    </comment>
    <comment ref="L4" authorId="0" shapeId="0" xr:uid="{BA25E294-4895-4223-8466-81CA8B88434C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BonoPie = PrecioListaTotal × %BonoPie
(Base = Precio Lista TOTAL: depto+estac+bodega)</t>
        </r>
      </text>
    </comment>
    <comment ref="M4" authorId="0" shapeId="0" xr:uid="{FB1E4A0B-7D16-44F1-9310-CF5BC9D2B839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Tasación = ValorVenta + BonoPieUF</t>
        </r>
      </text>
    </comment>
    <comment ref="N4" authorId="0" shapeId="0" xr:uid="{21E3365B-D4AE-4445-AC60-85142B55829A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Crédito = ValorVenta - PieTotal - AporteInmob
(AporteInmob = BonoPieUF para URMENETA)</t>
        </r>
      </text>
    </comment>
    <comment ref="O4" authorId="0" shapeId="0" xr:uid="{0AE8827F-CFFF-4782-89C9-C60D5B80D844}">
      <text>
        <r>
          <rPr>
            <b/>
            <sz val="9"/>
            <color indexed="81"/>
            <rFont val="Tahoma"/>
            <charset val="1"/>
          </rPr>
          <t>Felipe Donoso:</t>
        </r>
        <r>
          <rPr>
            <sz val="9"/>
            <color indexed="81"/>
            <rFont val="Tahoma"/>
            <charset val="1"/>
          </rPr>
          <t xml:space="preserve">
Aporte = BonoPieUF calculado
(para URMENETA, el aporte ES el bono pie)</t>
        </r>
      </text>
    </comment>
  </commentList>
</comments>
</file>

<file path=xl/sharedStrings.xml><?xml version="1.0" encoding="utf-8"?>
<sst xmlns="http://schemas.openxmlformats.org/spreadsheetml/2006/main" count="156" uniqueCount="126">
  <si>
    <t>INMOBILIARIA</t>
  </si>
  <si>
    <t>FORMULA PIE</t>
  </si>
  <si>
    <t>FORMULA BONO PIE</t>
  </si>
  <si>
    <t>FORMULA CRÉDITO HIPOTECARIO</t>
  </si>
  <si>
    <t>EJEMPLO DE CALCULO (con valores reales)</t>
  </si>
  <si>
    <t>VALOR DEPTO (UF)</t>
  </si>
  <si>
    <t>VALOR ESTAC (UF)</t>
  </si>
  <si>
    <t>VALOR BODEGA (UF)</t>
  </si>
  <si>
    <t>% PIE</t>
  </si>
  <si>
    <t>% BONO PIE</t>
  </si>
  <si>
    <t>PIE (UF)</t>
  </si>
  <si>
    <t>BONO PIE (UF)</t>
  </si>
  <si>
    <t>MAESTRA</t>
  </si>
  <si>
    <t>Pie Depto = Precio Desc. Depto × %Pie
Pie Conjuntos = Precio Lista (Estac+Bodega) × 20%
PIE TOTAL = Pie Depto + Pie Conjuntos
⚠ Bienes conjuntos SIEMPRE 20% independiente del %Pie del depto</t>
  </si>
  <si>
    <t>Fórmula Excel Calculadora BP+Mutuo (celdas D33/D35/D36):
  D33 = 1 − %Pie − %BonoPie
  Tasación (D35) = ValorVenta × (1−%Pie) / D33
  Bono Pie (D36) = Tasación × %BonoPie
Base de aplicación: % se aplica sobre TASACIÓN BANCO</t>
  </si>
  <si>
    <t>Crédito Hipotecario = Tasación Banco × 80% (LTV máximo especial)
Aporte Inmobiliaria = Tasación − Pie Total − Crédito Hipotecario
⚠ Regla de LTV 80% EXCLUSIVA de Maestra</t>
  </si>
  <si>
    <t>Datos de entrada:
  Precio lista depto : 3,690.00 UF
  Descuento          : 10%  -&gt;  Precio desc depto: 3,321.00 UF
  Sin bienes conjuntos
  %Pie: 10%  |  %Bono Pie: 10%
PIE:
  Pie depto     = 3,321.00 x 10% = 332.10 UF
  Pie conjuntos = 0 (sin bienes conjuntos)
  PIE TOTAL     = 332.10 UF  ($13,233,521)
BONO PIE (Formula D35/D36 Excel):
  D33 = 1 - 10% - 10% = 0.80
  Tasacion (D35) = 3,321.00 x (1-10%) / 0.80 = 3,736.12 UF
  Bono Pie (D36) = 3,736.12 x 10% = 373.61 UF
CREDITO HIPOTECARIO:
  Tasacion Banco = 3,736.12 UF  ($148,876,910)
  Credito Hip.   = 3,736.12 x 80% = 2,988.90 UF  ($119,101,687)
  Aporte Inmob.  = 3,736.12 - 332.10 - 2,988.90 = 415.12 UF  ($16,541,702)
  % Aporte real  = 11.1% de tasacion</t>
  </si>
  <si>
    <t>INGEVEC
(y resto de inmobiliarias
no especificadas)</t>
  </si>
  <si>
    <t>Bono Pie = Precio Lista DEPARTAMENTO × %BonoPie
Tasación Banco = Valor de Venta + Bono Pie
Base de aplicación: % se aplica sobre PRECIO LISTA DEPTO</t>
  </si>
  <si>
    <t>Crédito Hipotecario = Valor de Venta − Pie Total − Aporte Inmobiliaria
Aporte Inmobiliaria = Bono Pie calculado
% mostrado = %BonoPie de condiciones comerciales</t>
  </si>
  <si>
    <t>Datos de entrada:
  Precio lista depto : 4,253.00 UF
  Precio lista estac : 390.00 UF
  Precio lista bodega: 205.00 UF
  Sin descuento  -&gt;  Valor de Venta: 4,848.00 UF
  %Pie depto: 0%  |  %Bono Pie: 20%
PIE:
  Pie depto     = 4,253.00 x 0% = 0.00 UF
  Pie conjuntos = (390.00 + 205.00) x 20% = 119.00 UF
  PIE TOTAL     = 0.00 + 119.00 = 119.00 UF  ($4,741,912)
BONO PIE (base: precio lista DEPTO):
  Bono Pie  = 4,253.00 x 20% = 850.60 UF  ($33,894,709)
  Tasacion  = 4,848.00 + 850.60 = 5,698.60 UF  ($227,077,813)
CREDITO HIPOTECARIO:
  Tasacion Banco = 5,698.60 UF
  Credito Hip.   = 4,848.00 - 119.00 - 850.60 = 3,878.40 UF  ($154,546,483)
  Aporte Inmob.  = 850.60 UF  (20% condiciones comerciales)</t>
  </si>
  <si>
    <t>URMENETA</t>
  </si>
  <si>
    <t>Bono Pie = Precio Lista TOTAL (Depto + Estac + Bodega) × %BonoPie
Tasación Banco = Valor de Venta + Bono Pie
Base de aplicación: % se aplica sobre PRECIO LISTA TOTAL (todas las unidades)</t>
  </si>
  <si>
    <t>Datos de entrada:
  Precio lista depto : 4,253.00 UF
  Precio lista estac : 390.00 UF
  Precio lista bodega: 205.00 UF
  Precio lista TOTAL : 4,848.00 UF
  Sin descuento  -&gt;  Valor de Venta: 4,848.00 UF
  %Pie depto: 5%  |  %Bono Pie: 15%
PIE:
  Pie depto     = 4,253.00 x 5% = 212.65 UF
  Pie conjuntos = (390.00 + 205.00) x 20% = 119.00 UF
  PIE TOTAL     = 212.65 + 119.00 = 331.65 UF  ($13,215,589)
BONO PIE (base: precio lista TOTAL todas las unidades):
  Bono Pie  = 4,848.00 x 15% = 727.20 UF  ($28,977,466)
  Tasacion  = 4,848.00 + 727.20 = 5,575.20 UF  ($222,160,570)
CREDITO HIPOTECARIO:
  Tasacion Banco = 5,575.20 UF
  Credito Hip.   = 4,848.00 - 331.65 - 727.20 = 3,789.15 UF  ($150,990,049)
  Aporte Inmob.  = 727.20 UF  (15% condiciones comerciales)</t>
  </si>
  <si>
    <t>REGLAS ACTUALES DE CÁLCULO — COTIZADOR MERCADO PRIMARIO</t>
  </si>
  <si>
    <t>REGLA COMÚN — APLICA A TODAS LAS INMOBILIARIAS</t>
  </si>
  <si>
    <t>CONCEPTO</t>
  </si>
  <si>
    <t>FÓRMULA / REGLA</t>
  </si>
  <si>
    <t>DETALLE</t>
  </si>
  <si>
    <t>CONDICIÓN</t>
  </si>
  <si>
    <t>FUENTE EN CÓDIGO</t>
  </si>
  <si>
    <t>PIE TOTAL</t>
  </si>
  <si>
    <t>Pie Depto + Pie Conjuntos</t>
  </si>
  <si>
    <t>Pie Depto = Precio Desc. Depto x %Pie
Pie Conjuntos = Precio Lista (Estac+Bodega) x 20%</t>
  </si>
  <si>
    <t>Bienes conjuntos SIEMPRE 20%,
independiente del %Pie del depto</t>
  </si>
  <si>
    <t>cotizador.ts: pieTotalDeptoUF
+ pieTotalConjuntosUF</t>
  </si>
  <si>
    <t>% PIE DEFAULT EN UI</t>
  </si>
  <si>
    <t>max(0, 20% - %BonoPie)</t>
  </si>
  <si>
    <t>Ejemplo: BonoPie=20% -&gt; Pie=0%
         BonoPie=15% -&gt; Pie=5%
         BonoPie=0%  -&gt; Pie=10%</t>
  </si>
  <si>
    <t>Solo cuando existe bono pie
en condiciones comerciales</t>
  </si>
  <si>
    <t>PanelCotizacion.tsx: useState
(unidad.bonoPie &gt; 0 ? ...)</t>
  </si>
  <si>
    <t>UPFRONT PROMESA</t>
  </si>
  <si>
    <t>Bloqueado en 0%
cuando hay bono pie</t>
  </si>
  <si>
    <t>Si bonoPie &gt; 0 en condiciones
comerciales: control deshabilitado
y valor = 0%</t>
  </si>
  <si>
    <t>Aplica a todas las inmobiliarias
que tienen bono pie</t>
  </si>
  <si>
    <t>PanelCotizacion.tsx:
disabled={unidad.bonoPie &gt; 0}</t>
  </si>
  <si>
    <t>DETECCIÓN DE INMOBILIARIA</t>
  </si>
  <si>
    <t>Por nombre de alianza
(case-insensitive)</t>
  </si>
  <si>
    <t>getTipoCalculoBono(alianza):
  "maestra"  -&gt; regla Maestra
  "urmeneta" -&gt; regla Urmeneta
  resto      -&gt; regla INGEVEC/default</t>
  </si>
  <si>
    <t>Comparacion con .includes()
sobre el nombre de alianza</t>
  </si>
  <si>
    <t>cotizadorConfig.ts:
getTipoCalculoBono()
getLtvMaxPct()</t>
  </si>
  <si>
    <t>REGLAS ESPECÍFICAS POR INMOBILIARIA</t>
  </si>
  <si>
    <t>Los campos en VERDE son comunes; los diferenciadores están resaltados por color de inmobiliaria</t>
  </si>
  <si>
    <t>INGEVEC (y resto default)</t>
  </si>
  <si>
    <t>NOTAS</t>
  </si>
  <si>
    <t>Detección</t>
  </si>
  <si>
    <t>alianza.includes("maestra")</t>
  </si>
  <si>
    <t>cualquier alias no reconocido
como Maestra ni Urmeneta</t>
  </si>
  <si>
    <t>alianza.includes("urmeneta")</t>
  </si>
  <si>
    <t>getTipoCalculoBono()
en cotizadorConfig.ts</t>
  </si>
  <si>
    <t>tipoCalculoBono</t>
  </si>
  <si>
    <t>'maestra'</t>
  </si>
  <si>
    <t>'precio-lista-depto'</t>
  </si>
  <si>
    <t>'precio-lista-total'</t>
  </si>
  <si>
    <t>Valor pasado al motor
como input.tipoCalculoBono</t>
  </si>
  <si>
    <t>LTV máximo banco
(ltvMaxPct)</t>
  </si>
  <si>
    <t>0.80  (80%)</t>
  </si>
  <si>
    <t>1.0  (sin límite especial)</t>
  </si>
  <si>
    <t>getLtvMaxPct(alianza)
en cotizadorConfig.ts</t>
  </si>
  <si>
    <t>Base de cálculo
Bono Pie</t>
  </si>
  <si>
    <t>TASACIÓN BANCO
(% se aplica sobre tasación,
no sobre valor venta)</t>
  </si>
  <si>
    <t>PRECIO LISTA DEPTO
(solo departamento,
excluye bienes conjuntos)</t>
  </si>
  <si>
    <t>PRECIO LISTA TOTAL
(depto + estac + bodega)</t>
  </si>
  <si>
    <t>Diferencia clave
entre inmobiliarias</t>
  </si>
  <si>
    <t>Fórmula Bono Pie (UF)</t>
  </si>
  <si>
    <t>D36: Tasación × %BonoPie
(Tasación se despeja primero en D35)</t>
  </si>
  <si>
    <t>PrecioListaDepto × %BonoPie</t>
  </si>
  <si>
    <t>PrecioListaTotal × %BonoPie</t>
  </si>
  <si>
    <t>Fórmula Tasación Banco</t>
  </si>
  <si>
    <t>D35: ValorVenta × (1-pie)
     / (1 - pie - bono%)
[Excel Calculadora BP+Mutuo]</t>
  </si>
  <si>
    <t>ValorVenta + BonoPieUF</t>
  </si>
  <si>
    <t>Maestra: fórmula
inversa (tasación despejada)</t>
  </si>
  <si>
    <t>Fórmula
Crédito Hipotecario</t>
  </si>
  <si>
    <t>Tasación × 80%
(LTV máximo especial)</t>
  </si>
  <si>
    <t>ValorVenta - PieTotal - AporteInmob</t>
  </si>
  <si>
    <t>Maestra tiene regla
exclusiva de LTV 80%</t>
  </si>
  <si>
    <t>Aporte Inmobiliaria (UF)</t>
  </si>
  <si>
    <t>Tasación - PieTotal - CréditoHip
(residual, absorbe diferencia LTV)</t>
  </si>
  <si>
    <t>BonoPieUF calculado</t>
  </si>
  <si>
    <t>% display Aporte
(en tabla cotización)</t>
  </si>
  <si>
    <t>Calculado real:
saldoAporte / Tasación
(puede diferir del % nominal)</t>
  </si>
  <si>
    <t>%BonoPie de condiciones
comerciales (nominal)</t>
  </si>
  <si>
    <t>Solo Maestra muestra
% real calculado</t>
  </si>
  <si>
    <t>COMO AGREGAR UNA NUEVA INMOBILIARIA CON REGLA ESPECIAL</t>
  </si>
  <si>
    <t>PASO</t>
  </si>
  <si>
    <t>ACCIÓN</t>
  </si>
  <si>
    <t>ARCHIVO / LINEA</t>
  </si>
  <si>
    <t>Paso 1 — Definir tipo
de cálculo</t>
  </si>
  <si>
    <t>Editar getTipoCalculoBono()
en lib/config/cotizadorConfig.ts</t>
  </si>
  <si>
    <t>Agregar:
  if (norm.includes('nombre_alianza'))
    return 'precio-lista-depto' | 'precio-lista-total' | 'maestra'</t>
  </si>
  <si>
    <t>cotizadorConfig.ts
lineas 85-90</t>
  </si>
  <si>
    <t>Paso 2 — Definir LTV
(si aplica)</t>
  </si>
  <si>
    <t>Editar getLtvMaxPct()
en lib/config/cotizadorConfig.ts</t>
  </si>
  <si>
    <t>Si el banco aplica LTV especial:
  return alianza.includes('x') ? LTV_X : 1.0</t>
  </si>
  <si>
    <t>Solo si el LTV difiere del estándar</t>
  </si>
  <si>
    <t>cotizadorConfig.ts
lineas 72-74</t>
  </si>
  <si>
    <t>Paso 3 — Lógica de
cálculo nueva (si aplica)</t>
  </si>
  <si>
    <t>Agregar bloque en
lib/calculators/cotizador.ts</t>
  </si>
  <si>
    <t>En el bloque if/else de
tipoCalculoBono:
  } else if (tipoCalculoBono === 'nueva') {</t>
  </si>
  <si>
    <t>Solo si la fórmula difiere
de las 3 existentes</t>
  </si>
  <si>
    <t>cotizador.ts
lineas 220-250</t>
  </si>
  <si>
    <t>Paso 4 — Documentar</t>
  </si>
  <si>
    <t>Actualizar REGLAS_PIE_Y_BONO_PIE.xlsx
y MAESTRO_DESARROLLO_COTIZADOR.md</t>
  </si>
  <si>
    <t>TASACIÓN BANCO (UF)</t>
  </si>
  <si>
    <t>CRÉDITO HIP. (UF)</t>
  </si>
  <si>
    <t>APORTE INMOB. (UF)</t>
  </si>
  <si>
    <t>PieDepto = PrecioDescDepto × %Pie
PieConjuntos = PrecioLista(Estac+Bod) × 20%
PieTotal = PieDepto + PieConjuntos</t>
  </si>
  <si>
    <t>Base = TASACIÓN BANCO
BonoPie = Tasación × %BonoPie
(Tasación se despeja primero)</t>
  </si>
  <si>
    <t>Tasación = ValorVenta×(1-%Pie) / (1-%Pie-%BonoPie)
Crédito = Tasación × 80% (LTV máx)
Aporte = Tasación - PieTotal - Crédito</t>
  </si>
  <si>
    <t>tipoCalculoBono = 'maestra'
LTV máx = 80%
Detección: alianza.includes("maestra")</t>
  </si>
  <si>
    <t>INGEVEC (default)</t>
  </si>
  <si>
    <t>Base = PRECIO LISTA DEPTO
BonoPie = PrecioListaDepto × %BonoPie
(solo depto, excluye bienes conjuntos)</t>
  </si>
  <si>
    <t>Tasación = ValorVenta + BonoPieUF
Crédito = ValorVenta - PieTotal - AporteInmob
Aporte = BonoPieUF calculado</t>
  </si>
  <si>
    <t>tipoCalculoBono = 'precio-lista-depto'
LTV máx = 100% (sin límite especial)
Detección: cualquier alias no reconocido</t>
  </si>
  <si>
    <t>Base = PRECIO LISTA TOTAL
BonoPie = PrecioListaTotal × %BonoPie
(depto + estac + bodega)</t>
  </si>
  <si>
    <t>tipoCalculoBono = 'precio-lista-total'
LTV máx = 100% (sin límite especial)
Detección: alianza.includes("urmeneta")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</si>
</sst>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0"/>
      <name val="Calibri"/>
    </font>
    <font>
      <sz val="10"/>
      <name val="Calibri"/>
    </font>
    <font>
      <b/>
      <sz val="11"/>
      <color rgb="FFFFFFFF"/>
      <name val="Calibri"/>
    </font>
    <font>
      <sz val="10"/>
      <name val="Calibri"/>
    </font>
    <font>
      <b/>
      <sz val="11"/>
      <color rgb="FFFFFFFF"/>
      <name val="Calibri"/>
      <scheme val="minor"/>
    </font>
    <font>
      <sz val="10"/>
      <color rgb="FF000000"/>
      <name val="Calibri"/>
      <scheme val="minor"/>
    </font>
    <font>
      <sz val="10"/>
      <color rgb="FF0000FF"/>
      <name val="Calibri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rgb="FFFFFFFF"/>
      <name val="Calibri"/>
    </font>
    <font>
      <b/>
      <sz val="11"/>
      <color rgb="FFFFFFFF"/>
      <name val="Calibri"/>
    </font>
    <font>
      <b/>
      <sz val="10"/>
      <color rgb="FF1F4E79"/>
      <name val="Calibri"/>
    </font>
    <font>
      <b/>
      <sz val="10"/>
      <name val="Calibri"/>
    </font>
    <font>
      <sz val="10"/>
      <name val="Calibri"/>
    </font>
    <font>
      <b/>
      <sz val="10"/>
      <color rgb="FF000000"/>
      <name val="Calibri"/>
      <scheme val="minor"/>
    </font>
    <font>
      <sz val="10"/>
      <color theme="1"/>
      <name val="Calibri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E699"/>
      </patternFill>
    </fill>
    <fill>
      <patternFill patternType="solid">
        <fgColor rgb="FFD9EAD3"/>
      </patternFill>
    </fill>
    <fill>
      <patternFill patternType="solid">
        <fgColor rgb="FFD0E4F7"/>
      </patternFill>
    </fill>
    <fill>
      <patternFill patternType="solid">
        <fgColor rgb="FF1F4E79"/>
      </patternFill>
    </fill>
    <fill>
      <patternFill patternType="solid">
        <fgColor rgb="FFFFE699"/>
      </patternFill>
    </fill>
    <fill>
      <patternFill patternType="solid">
        <fgColor rgb="FFD9EAD3"/>
      </patternFill>
    </fill>
    <fill>
      <patternFill patternType="solid">
        <fgColor rgb="FFD0E4F7"/>
      </patternFill>
    </fill>
    <fill>
      <patternFill patternType="solid">
        <fgColor rgb="FF1F4E79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D0E4F7"/>
        <bgColor indexed="64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FFE699"/>
      </patternFill>
    </fill>
    <fill>
      <patternFill patternType="solid">
        <fgColor rgb="FFD9EAD3"/>
      </patternFill>
    </fill>
    <fill>
      <patternFill patternType="solid">
        <fgColor rgb="FFD0E4F7"/>
      </patternFill>
    </fill>
    <fill>
      <patternFill patternType="solid">
        <fgColor rgb="FFFFFFFF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vertical="top" wrapText="1"/>
    </xf>
    <xf numFmtId="0" fontId="4" fillId="6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vertical="top" wrapText="1"/>
    </xf>
    <xf numFmtId="0" fontId="5" fillId="8" borderId="3" xfId="0" applyFont="1" applyFill="1" applyBorder="1" applyAlignment="1">
      <alignment vertical="top" wrapText="1"/>
    </xf>
    <xf numFmtId="0" fontId="5" fillId="9" borderId="3" xfId="0" applyFont="1" applyFill="1" applyBorder="1" applyAlignment="1">
      <alignment vertical="top" wrapText="1"/>
    </xf>
    <xf numFmtId="4" fontId="8" fillId="11" borderId="2" xfId="0" applyNumberFormat="1" applyFont="1" applyFill="1" applyBorder="1" applyAlignment="1">
      <alignment horizontal="center"/>
    </xf>
    <xf numFmtId="9" fontId="8" fillId="11" borderId="2" xfId="0" applyNumberFormat="1" applyFont="1" applyFill="1" applyBorder="1" applyAlignment="1">
      <alignment horizontal="center"/>
    </xf>
    <xf numFmtId="4" fontId="7" fillId="11" borderId="2" xfId="0" applyNumberFormat="1" applyFont="1" applyFill="1" applyBorder="1" applyAlignment="1">
      <alignment horizontal="center"/>
    </xf>
    <xf numFmtId="4" fontId="8" fillId="12" borderId="2" xfId="0" applyNumberFormat="1" applyFont="1" applyFill="1" applyBorder="1" applyAlignment="1">
      <alignment horizontal="center"/>
    </xf>
    <xf numFmtId="9" fontId="8" fillId="12" borderId="2" xfId="0" applyNumberFormat="1" applyFont="1" applyFill="1" applyBorder="1" applyAlignment="1">
      <alignment horizontal="center"/>
    </xf>
    <xf numFmtId="4" fontId="7" fillId="12" borderId="2" xfId="0" applyNumberFormat="1" applyFont="1" applyFill="1" applyBorder="1" applyAlignment="1">
      <alignment horizontal="center"/>
    </xf>
    <xf numFmtId="4" fontId="8" fillId="13" borderId="2" xfId="0" applyNumberFormat="1" applyFont="1" applyFill="1" applyBorder="1" applyAlignment="1">
      <alignment horizontal="center"/>
    </xf>
    <xf numFmtId="9" fontId="8" fillId="13" borderId="2" xfId="0" applyNumberFormat="1" applyFont="1" applyFill="1" applyBorder="1" applyAlignment="1">
      <alignment horizontal="center"/>
    </xf>
    <xf numFmtId="4" fontId="7" fillId="13" borderId="2" xfId="0" applyNumberFormat="1" applyFont="1" applyFill="1" applyBorder="1" applyAlignment="1">
      <alignment horizontal="center"/>
    </xf>
    <xf numFmtId="0" fontId="13" fillId="16" borderId="4" xfId="0" applyFont="1" applyFill="1" applyBorder="1" applyAlignment="1">
      <alignment horizontal="center" vertical="center" wrapText="1"/>
    </xf>
    <xf numFmtId="0" fontId="14" fillId="17" borderId="4" xfId="0" applyFont="1" applyFill="1" applyBorder="1" applyAlignment="1">
      <alignment vertical="top" wrapText="1"/>
    </xf>
    <xf numFmtId="0" fontId="15" fillId="17" borderId="4" xfId="0" applyFont="1" applyFill="1" applyBorder="1" applyAlignment="1">
      <alignment vertical="top" wrapText="1"/>
    </xf>
    <xf numFmtId="0" fontId="14" fillId="16" borderId="4" xfId="0" applyFont="1" applyFill="1" applyBorder="1" applyAlignment="1">
      <alignment vertical="top" wrapText="1"/>
    </xf>
    <xf numFmtId="0" fontId="15" fillId="18" borderId="4" xfId="0" applyFont="1" applyFill="1" applyBorder="1" applyAlignment="1">
      <alignment vertical="top" wrapText="1"/>
    </xf>
    <xf numFmtId="0" fontId="15" fillId="19" borderId="4" xfId="0" applyFont="1" applyFill="1" applyBorder="1" applyAlignment="1">
      <alignment vertical="top" wrapText="1"/>
    </xf>
    <xf numFmtId="0" fontId="15" fillId="20" borderId="4" xfId="0" applyFont="1" applyFill="1" applyBorder="1" applyAlignment="1">
      <alignment vertical="top" wrapText="1"/>
    </xf>
    <xf numFmtId="0" fontId="15" fillId="21" borderId="4" xfId="0" applyFont="1" applyFill="1" applyBorder="1" applyAlignment="1">
      <alignment vertical="top" wrapText="1"/>
    </xf>
    <xf numFmtId="0" fontId="12" fillId="15" borderId="4" xfId="0" applyFont="1" applyFill="1" applyBorder="1" applyAlignment="1">
      <alignment horizontal="center" vertical="center" wrapText="1"/>
    </xf>
    <xf numFmtId="0" fontId="0" fillId="0" borderId="0" xfId="0"/>
    <xf numFmtId="0" fontId="14" fillId="16" borderId="4" xfId="0" applyFont="1" applyFill="1" applyBorder="1" applyAlignment="1">
      <alignment horizontal="center" vertical="center" wrapText="1"/>
    </xf>
    <xf numFmtId="0" fontId="11" fillId="14" borderId="4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wrapText="1"/>
    </xf>
    <xf numFmtId="0" fontId="6" fillId="10" borderId="2" xfId="0" applyFont="1" applyFill="1" applyBorder="1" applyAlignment="1"/>
    <xf numFmtId="0" fontId="1" fillId="2" borderId="5" xfId="0" applyFont="1" applyFill="1" applyBorder="1" applyAlignment="1">
      <alignment horizontal="center" vertical="top" wrapText="1"/>
    </xf>
    <xf numFmtId="0" fontId="4" fillId="6" borderId="7" xfId="0" applyFont="1" applyFill="1" applyBorder="1" applyAlignment="1">
      <alignment horizontal="center" vertical="top" wrapText="1"/>
    </xf>
    <xf numFmtId="0" fontId="1" fillId="10" borderId="5" xfId="0" applyFont="1" applyFill="1" applyBorder="1" applyAlignment="1">
      <alignment vertical="top" wrapText="1"/>
    </xf>
    <xf numFmtId="0" fontId="6" fillId="10" borderId="5" xfId="0" applyFont="1" applyFill="1" applyBorder="1" applyAlignment="1">
      <alignment vertical="top" wrapText="1"/>
    </xf>
    <xf numFmtId="0" fontId="6" fillId="10" borderId="7" xfId="0" applyFont="1" applyFill="1" applyBorder="1" applyAlignment="1">
      <alignment vertical="top" wrapText="1"/>
    </xf>
    <xf numFmtId="0" fontId="16" fillId="11" borderId="7" xfId="0" applyFont="1" applyFill="1" applyBorder="1" applyAlignment="1">
      <alignment vertical="top" wrapText="1"/>
    </xf>
    <xf numFmtId="0" fontId="17" fillId="11" borderId="7" xfId="0" applyFont="1" applyFill="1" applyBorder="1" applyAlignment="1">
      <alignment vertical="top" wrapText="1"/>
    </xf>
    <xf numFmtId="3" fontId="17" fillId="11" borderId="7" xfId="0" applyNumberFormat="1" applyFont="1" applyFill="1" applyBorder="1" applyAlignment="1">
      <alignment vertical="top" wrapText="1"/>
    </xf>
    <xf numFmtId="9" fontId="17" fillId="11" borderId="7" xfId="0" applyNumberFormat="1" applyFont="1" applyFill="1" applyBorder="1" applyAlignment="1">
      <alignment vertical="top" wrapText="1"/>
    </xf>
    <xf numFmtId="4" fontId="17" fillId="11" borderId="7" xfId="0" applyNumberFormat="1" applyFont="1" applyFill="1" applyBorder="1" applyAlignment="1">
      <alignment vertical="top" wrapText="1"/>
    </xf>
    <xf numFmtId="4" fontId="17" fillId="11" borderId="5" xfId="0" applyNumberFormat="1" applyFont="1" applyFill="1" applyBorder="1" applyAlignment="1">
      <alignment vertical="top" wrapText="1"/>
    </xf>
    <xf numFmtId="4" fontId="17" fillId="11" borderId="6" xfId="0" applyNumberFormat="1" applyFont="1" applyFill="1" applyBorder="1" applyAlignment="1">
      <alignment vertical="top" wrapText="1"/>
    </xf>
    <xf numFmtId="0" fontId="16" fillId="12" borderId="7" xfId="0" applyFont="1" applyFill="1" applyBorder="1" applyAlignment="1">
      <alignment vertical="top" wrapText="1"/>
    </xf>
    <xf numFmtId="0" fontId="17" fillId="12" borderId="7" xfId="0" applyFont="1" applyFill="1" applyBorder="1" applyAlignment="1">
      <alignment vertical="top" wrapText="1"/>
    </xf>
    <xf numFmtId="3" fontId="17" fillId="12" borderId="7" xfId="0" applyNumberFormat="1" applyFont="1" applyFill="1" applyBorder="1" applyAlignment="1">
      <alignment vertical="top" wrapText="1"/>
    </xf>
    <xf numFmtId="9" fontId="17" fillId="12" borderId="7" xfId="0" applyNumberFormat="1" applyFont="1" applyFill="1" applyBorder="1" applyAlignment="1">
      <alignment vertical="top" wrapText="1"/>
    </xf>
    <xf numFmtId="4" fontId="17" fillId="12" borderId="7" xfId="0" applyNumberFormat="1" applyFont="1" applyFill="1" applyBorder="1" applyAlignment="1">
      <alignment vertical="top" wrapText="1"/>
    </xf>
    <xf numFmtId="4" fontId="17" fillId="12" borderId="5" xfId="0" applyNumberFormat="1" applyFont="1" applyFill="1" applyBorder="1" applyAlignment="1">
      <alignment vertical="top" wrapText="1"/>
    </xf>
    <xf numFmtId="0" fontId="16" fillId="13" borderId="3" xfId="0" applyFont="1" applyFill="1" applyBorder="1" applyAlignment="1">
      <alignment vertical="top" wrapText="1"/>
    </xf>
    <xf numFmtId="0" fontId="17" fillId="13" borderId="3" xfId="0" applyFont="1" applyFill="1" applyBorder="1" applyAlignment="1">
      <alignment vertical="top" wrapText="1"/>
    </xf>
    <xf numFmtId="3" fontId="17" fillId="13" borderId="3" xfId="0" applyNumberFormat="1" applyFont="1" applyFill="1" applyBorder="1" applyAlignment="1">
      <alignment vertical="top" wrapText="1"/>
    </xf>
    <xf numFmtId="9" fontId="17" fillId="13" borderId="3" xfId="0" applyNumberFormat="1" applyFont="1" applyFill="1" applyBorder="1" applyAlignment="1">
      <alignment vertical="top" wrapText="1"/>
    </xf>
    <xf numFmtId="4" fontId="17" fillId="13" borderId="3" xfId="0" applyNumberFormat="1" applyFont="1" applyFill="1" applyBorder="1" applyAlignment="1">
      <alignment vertical="top" wrapText="1"/>
    </xf>
    <xf numFmtId="4" fontId="17" fillId="13" borderId="2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8F043FC-67F3-40AC-BFA4-E06CEB2D5DB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"/>
  <sheetViews>
    <sheetView workbookViewId="0">
      <pane ySplit="1" topLeftCell="A2" activePane="bottomLeft" state="frozen"/>
      <selection pane="bottomLeft" activeCell="L1" sqref="A1:L1"/>
    </sheetView>
  </sheetViews>
  <sheetFormatPr defaultRowHeight="14.4" x14ac:dyDescent="0.3"/>
  <cols>
    <col min="1" max="1" width="22" customWidth="1"/>
    <col min="2" max="4" width="52" customWidth="1"/>
    <col min="5" max="5" width="65" customWidth="1"/>
    <col min="6" max="6" width="17" bestFit="1" customWidth="1"/>
    <col min="7" max="7" width="16.6640625" bestFit="1" customWidth="1"/>
    <col min="8" max="8" width="18.5546875" bestFit="1" customWidth="1"/>
    <col min="9" max="9" width="5.5546875" bestFit="1" customWidth="1"/>
    <col min="10" max="10" width="11.109375" bestFit="1" customWidth="1"/>
    <col min="11" max="11" width="7.6640625" bestFit="1" customWidth="1"/>
    <col min="12" max="12" width="13.33203125" bestFit="1" customWidth="1"/>
  </cols>
  <sheetData>
    <row r="1" spans="1:12" ht="22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8" t="s">
        <v>4</v>
      </c>
      <c r="F1" s="33" t="s">
        <v>5</v>
      </c>
      <c r="G1" s="33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</row>
    <row r="2" spans="1:12" ht="180" customHeight="1" x14ac:dyDescent="0.3">
      <c r="A2" s="2" t="s">
        <v>12</v>
      </c>
      <c r="B2" s="3" t="s">
        <v>13</v>
      </c>
      <c r="C2" s="3" t="s">
        <v>14</v>
      </c>
      <c r="D2" s="3" t="s">
        <v>15</v>
      </c>
      <c r="E2" s="9" t="s">
        <v>16</v>
      </c>
      <c r="F2" s="12">
        <v>3321</v>
      </c>
      <c r="G2" s="12">
        <v>0</v>
      </c>
      <c r="H2" s="12">
        <v>0</v>
      </c>
      <c r="I2" s="13">
        <v>0.1</v>
      </c>
      <c r="J2" s="13">
        <v>0.1</v>
      </c>
      <c r="K2" s="14">
        <f>F2*I2+(G2+H2)*0.2</f>
        <v>332.1</v>
      </c>
      <c r="L2" s="14">
        <f>(F2+G2+H2)*(1-I2)/(1-I2-J2)*J2</f>
        <v>373.61250000000001</v>
      </c>
    </row>
    <row r="3" spans="1:12" ht="180" customHeight="1" x14ac:dyDescent="0.3">
      <c r="A3" s="4" t="s">
        <v>17</v>
      </c>
      <c r="B3" s="5" t="s">
        <v>13</v>
      </c>
      <c r="C3" s="5" t="s">
        <v>18</v>
      </c>
      <c r="D3" s="5" t="s">
        <v>19</v>
      </c>
      <c r="E3" s="10" t="s">
        <v>20</v>
      </c>
      <c r="F3" s="15">
        <v>4253</v>
      </c>
      <c r="G3" s="15">
        <v>390</v>
      </c>
      <c r="H3" s="15">
        <v>205</v>
      </c>
      <c r="I3" s="16">
        <v>0</v>
      </c>
      <c r="J3" s="16">
        <v>0.2</v>
      </c>
      <c r="K3" s="17">
        <f>F3*I3+(G3+H3)*0.2</f>
        <v>119</v>
      </c>
      <c r="L3" s="17">
        <f>F3*J3</f>
        <v>850.6</v>
      </c>
    </row>
    <row r="4" spans="1:12" ht="180" customHeight="1" x14ac:dyDescent="0.3">
      <c r="A4" s="6" t="s">
        <v>21</v>
      </c>
      <c r="B4" s="7" t="s">
        <v>13</v>
      </c>
      <c r="C4" s="7" t="s">
        <v>22</v>
      </c>
      <c r="D4" s="7" t="s">
        <v>19</v>
      </c>
      <c r="E4" s="11" t="s">
        <v>23</v>
      </c>
      <c r="F4" s="18">
        <v>4253</v>
      </c>
      <c r="G4" s="18">
        <v>390</v>
      </c>
      <c r="H4" s="18">
        <v>205</v>
      </c>
      <c r="I4" s="19">
        <v>0.05</v>
      </c>
      <c r="J4" s="19">
        <v>0.15</v>
      </c>
      <c r="K4" s="20">
        <f>F4*I4+(G4+H4)*0.2</f>
        <v>331.65</v>
      </c>
      <c r="L4" s="20">
        <f>(F4+G4+H4)*J4</f>
        <v>727.19999999999993</v>
      </c>
    </row>
  </sheetData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7"/>
  <sheetViews>
    <sheetView workbookViewId="0">
      <pane xSplit="1" ySplit="3" topLeftCell="B4" activePane="bottomRight" state="frozen"/>
      <selection pane="topRight"/>
      <selection pane="bottomLeft"/>
      <selection pane="bottomRight" activeCell="B4" sqref="B4"/>
    </sheetView>
  </sheetViews>
  <sheetFormatPr defaultRowHeight="14.4" x14ac:dyDescent="0.3"/>
  <cols>
    <col min="1" max="1" width="28" customWidth="1"/>
    <col min="2" max="5" width="40" customWidth="1"/>
  </cols>
  <sheetData>
    <row r="1" spans="1:5" ht="28.05" customHeight="1" x14ac:dyDescent="0.3">
      <c r="A1" s="32" t="s">
        <v>24</v>
      </c>
      <c r="B1" s="30"/>
      <c r="C1" s="30"/>
      <c r="D1" s="30"/>
      <c r="E1" s="30"/>
    </row>
    <row r="2" spans="1:5" ht="19.95" customHeight="1" x14ac:dyDescent="0.3">
      <c r="A2" s="29" t="s">
        <v>25</v>
      </c>
      <c r="B2" s="30"/>
      <c r="C2" s="30"/>
      <c r="D2" s="30"/>
      <c r="E2" s="30"/>
    </row>
    <row r="3" spans="1:5" ht="18" customHeight="1" x14ac:dyDescent="0.3">
      <c r="A3" s="21" t="s">
        <v>26</v>
      </c>
      <c r="B3" s="21" t="s">
        <v>27</v>
      </c>
      <c r="C3" s="21" t="s">
        <v>28</v>
      </c>
      <c r="D3" s="21" t="s">
        <v>29</v>
      </c>
      <c r="E3" s="21" t="s">
        <v>30</v>
      </c>
    </row>
    <row r="4" spans="1:5" ht="60" customHeight="1" x14ac:dyDescent="0.3">
      <c r="A4" s="22" t="s">
        <v>31</v>
      </c>
      <c r="B4" s="23" t="s">
        <v>32</v>
      </c>
      <c r="C4" s="23" t="s">
        <v>33</v>
      </c>
      <c r="D4" s="23" t="s">
        <v>34</v>
      </c>
      <c r="E4" s="23" t="s">
        <v>35</v>
      </c>
    </row>
    <row r="5" spans="1:5" ht="60" customHeight="1" x14ac:dyDescent="0.3">
      <c r="A5" s="22" t="s">
        <v>36</v>
      </c>
      <c r="B5" s="23" t="s">
        <v>37</v>
      </c>
      <c r="C5" s="23" t="s">
        <v>38</v>
      </c>
      <c r="D5" s="23" t="s">
        <v>39</v>
      </c>
      <c r="E5" s="23" t="s">
        <v>40</v>
      </c>
    </row>
    <row r="6" spans="1:5" ht="60" customHeight="1" x14ac:dyDescent="0.3">
      <c r="A6" s="22" t="s">
        <v>41</v>
      </c>
      <c r="B6" s="23" t="s">
        <v>42</v>
      </c>
      <c r="C6" s="23" t="s">
        <v>43</v>
      </c>
      <c r="D6" s="23" t="s">
        <v>44</v>
      </c>
      <c r="E6" s="23" t="s">
        <v>45</v>
      </c>
    </row>
    <row r="7" spans="1:5" ht="60" customHeight="1" x14ac:dyDescent="0.3">
      <c r="A7" s="22" t="s">
        <v>46</v>
      </c>
      <c r="B7" s="23" t="s">
        <v>47</v>
      </c>
      <c r="C7" s="23" t="s">
        <v>48</v>
      </c>
      <c r="D7" s="23" t="s">
        <v>49</v>
      </c>
      <c r="E7" s="23" t="s">
        <v>50</v>
      </c>
    </row>
    <row r="9" spans="1:5" ht="19.95" customHeight="1" x14ac:dyDescent="0.3">
      <c r="A9" s="29" t="s">
        <v>51</v>
      </c>
      <c r="B9" s="30"/>
      <c r="C9" s="30"/>
      <c r="D9" s="30"/>
      <c r="E9" s="30"/>
    </row>
    <row r="10" spans="1:5" ht="16.05" customHeight="1" x14ac:dyDescent="0.3">
      <c r="A10" s="31" t="s">
        <v>52</v>
      </c>
      <c r="B10" s="30"/>
      <c r="C10" s="30"/>
      <c r="D10" s="30"/>
      <c r="E10" s="30"/>
    </row>
    <row r="11" spans="1:5" ht="18" customHeight="1" x14ac:dyDescent="0.3">
      <c r="A11" s="21" t="s">
        <v>26</v>
      </c>
      <c r="B11" s="21" t="s">
        <v>12</v>
      </c>
      <c r="C11" s="21" t="s">
        <v>53</v>
      </c>
      <c r="D11" s="21" t="s">
        <v>21</v>
      </c>
      <c r="E11" s="21" t="s">
        <v>54</v>
      </c>
    </row>
    <row r="12" spans="1:5" ht="64.95" customHeight="1" x14ac:dyDescent="0.3">
      <c r="A12" s="24" t="s">
        <v>55</v>
      </c>
      <c r="B12" s="25" t="s">
        <v>56</v>
      </c>
      <c r="C12" s="26" t="s">
        <v>57</v>
      </c>
      <c r="D12" s="27" t="s">
        <v>58</v>
      </c>
      <c r="E12" s="28" t="s">
        <v>59</v>
      </c>
    </row>
    <row r="13" spans="1:5" ht="64.95" customHeight="1" x14ac:dyDescent="0.3">
      <c r="A13" s="24" t="s">
        <v>60</v>
      </c>
      <c r="B13" s="25" t="s">
        <v>61</v>
      </c>
      <c r="C13" s="26" t="s">
        <v>62</v>
      </c>
      <c r="D13" s="27" t="s">
        <v>63</v>
      </c>
      <c r="E13" s="28" t="s">
        <v>64</v>
      </c>
    </row>
    <row r="14" spans="1:5" ht="64.95" customHeight="1" x14ac:dyDescent="0.3">
      <c r="A14" s="24" t="s">
        <v>65</v>
      </c>
      <c r="B14" s="25" t="s">
        <v>66</v>
      </c>
      <c r="C14" s="23" t="s">
        <v>67</v>
      </c>
      <c r="D14" s="23" t="s">
        <v>67</v>
      </c>
      <c r="E14" s="28" t="s">
        <v>68</v>
      </c>
    </row>
    <row r="15" spans="1:5" ht="64.95" customHeight="1" x14ac:dyDescent="0.3">
      <c r="A15" s="24" t="s">
        <v>69</v>
      </c>
      <c r="B15" s="25" t="s">
        <v>70</v>
      </c>
      <c r="C15" s="26" t="s">
        <v>71</v>
      </c>
      <c r="D15" s="27" t="s">
        <v>72</v>
      </c>
      <c r="E15" s="28" t="s">
        <v>73</v>
      </c>
    </row>
    <row r="16" spans="1:5" ht="64.95" customHeight="1" x14ac:dyDescent="0.3">
      <c r="A16" s="24" t="s">
        <v>74</v>
      </c>
      <c r="B16" s="25" t="s">
        <v>75</v>
      </c>
      <c r="C16" s="26" t="s">
        <v>76</v>
      </c>
      <c r="D16" s="27" t="s">
        <v>77</v>
      </c>
      <c r="E16" s="28"/>
    </row>
    <row r="17" spans="1:5" ht="64.95" customHeight="1" x14ac:dyDescent="0.3">
      <c r="A17" s="24" t="s">
        <v>78</v>
      </c>
      <c r="B17" s="25" t="s">
        <v>79</v>
      </c>
      <c r="C17" s="23" t="s">
        <v>80</v>
      </c>
      <c r="D17" s="23" t="s">
        <v>80</v>
      </c>
      <c r="E17" s="28" t="s">
        <v>81</v>
      </c>
    </row>
    <row r="18" spans="1:5" ht="64.95" customHeight="1" x14ac:dyDescent="0.3">
      <c r="A18" s="24" t="s">
        <v>82</v>
      </c>
      <c r="B18" s="25" t="s">
        <v>83</v>
      </c>
      <c r="C18" s="23" t="s">
        <v>84</v>
      </c>
      <c r="D18" s="23" t="s">
        <v>84</v>
      </c>
      <c r="E18" s="28" t="s">
        <v>85</v>
      </c>
    </row>
    <row r="19" spans="1:5" ht="64.95" customHeight="1" x14ac:dyDescent="0.3">
      <c r="A19" s="24" t="s">
        <v>86</v>
      </c>
      <c r="B19" s="25" t="s">
        <v>87</v>
      </c>
      <c r="C19" s="23" t="s">
        <v>88</v>
      </c>
      <c r="D19" s="23" t="s">
        <v>88</v>
      </c>
      <c r="E19" s="28"/>
    </row>
    <row r="20" spans="1:5" ht="64.95" customHeight="1" x14ac:dyDescent="0.3">
      <c r="A20" s="24" t="s">
        <v>89</v>
      </c>
      <c r="B20" s="25" t="s">
        <v>90</v>
      </c>
      <c r="C20" s="26" t="s">
        <v>91</v>
      </c>
      <c r="D20" s="27" t="s">
        <v>91</v>
      </c>
      <c r="E20" s="28" t="s">
        <v>92</v>
      </c>
    </row>
    <row r="22" spans="1:5" ht="19.95" customHeight="1" x14ac:dyDescent="0.3">
      <c r="A22" s="29" t="s">
        <v>93</v>
      </c>
      <c r="B22" s="30"/>
      <c r="C22" s="30"/>
      <c r="D22" s="30"/>
      <c r="E22" s="30"/>
    </row>
    <row r="23" spans="1:5" ht="18" customHeight="1" x14ac:dyDescent="0.3">
      <c r="A23" s="21" t="s">
        <v>94</v>
      </c>
      <c r="B23" s="21" t="s">
        <v>95</v>
      </c>
      <c r="C23" s="21" t="s">
        <v>28</v>
      </c>
      <c r="D23" s="21" t="s">
        <v>29</v>
      </c>
      <c r="E23" s="21" t="s">
        <v>96</v>
      </c>
    </row>
    <row r="24" spans="1:5" ht="60" customHeight="1" x14ac:dyDescent="0.3">
      <c r="A24" s="24" t="s">
        <v>97</v>
      </c>
      <c r="B24" s="23" t="s">
        <v>98</v>
      </c>
      <c r="C24" s="28" t="s">
        <v>99</v>
      </c>
      <c r="D24" s="28"/>
      <c r="E24" s="28" t="s">
        <v>100</v>
      </c>
    </row>
    <row r="25" spans="1:5" ht="60" customHeight="1" x14ac:dyDescent="0.3">
      <c r="A25" s="24" t="s">
        <v>101</v>
      </c>
      <c r="B25" s="23" t="s">
        <v>102</v>
      </c>
      <c r="C25" s="28" t="s">
        <v>103</v>
      </c>
      <c r="D25" s="28" t="s">
        <v>104</v>
      </c>
      <c r="E25" s="28" t="s">
        <v>105</v>
      </c>
    </row>
    <row r="26" spans="1:5" ht="60" customHeight="1" x14ac:dyDescent="0.3">
      <c r="A26" s="24" t="s">
        <v>106</v>
      </c>
      <c r="B26" s="23" t="s">
        <v>107</v>
      </c>
      <c r="C26" s="28" t="s">
        <v>108</v>
      </c>
      <c r="D26" s="28" t="s">
        <v>109</v>
      </c>
      <c r="E26" s="28" t="s">
        <v>110</v>
      </c>
    </row>
    <row r="27" spans="1:5" ht="60" customHeight="1" x14ac:dyDescent="0.3">
      <c r="A27" s="24" t="s">
        <v>111</v>
      </c>
      <c r="B27" s="23" t="s">
        <v>112</v>
      </c>
      <c r="C27" s="28"/>
      <c r="D27" s="28"/>
      <c r="E27" s="28"/>
    </row>
  </sheetData>
  <mergeCells count="5">
    <mergeCell ref="A2:E2"/>
    <mergeCell ref="A10:E10"/>
    <mergeCell ref="A1:E1"/>
    <mergeCell ref="A22:E22"/>
    <mergeCell ref="A9:E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AFC51-4119-4226-B398-217B00D3C1D7}">
  <dimension ref="A1:O4"/>
  <sheetViews>
    <sheetView tabSelected="1" workbookViewId="0">
      <selection activeCell="A2" sqref="A2"/>
    </sheetView>
  </sheetViews>
  <sheetFormatPr defaultRowHeight="14.4" x14ac:dyDescent="0.3"/>
  <cols>
    <col min="1" max="1" width="28.5546875" customWidth="1"/>
    <col min="2" max="3" width="49.21875" customWidth="1"/>
    <col min="4" max="4" width="51.88671875" customWidth="1"/>
    <col min="5" max="5" width="49.21875" customWidth="1"/>
    <col min="6" max="8" width="18.109375" customWidth="1"/>
    <col min="9" max="9" width="13" customWidth="1"/>
    <col min="10" max="10" width="15.5546875" customWidth="1"/>
    <col min="11" max="12" width="18.109375" customWidth="1"/>
    <col min="13" max="13" width="23.33203125" customWidth="1"/>
    <col min="14" max="14" width="20.77734375" customWidth="1"/>
    <col min="15" max="15" width="23.33203125" customWidth="1"/>
  </cols>
  <sheetData>
    <row r="1" spans="1:15" ht="30" customHeight="1" x14ac:dyDescent="0.3">
      <c r="A1" s="35" t="s">
        <v>0</v>
      </c>
      <c r="B1" s="35" t="s">
        <v>1</v>
      </c>
      <c r="C1" s="35" t="s">
        <v>2</v>
      </c>
      <c r="D1" s="35" t="s">
        <v>3</v>
      </c>
      <c r="E1" s="36" t="s">
        <v>4</v>
      </c>
      <c r="F1" s="37" t="s">
        <v>5</v>
      </c>
      <c r="G1" s="37" t="s">
        <v>6</v>
      </c>
      <c r="H1" s="38" t="s">
        <v>7</v>
      </c>
      <c r="I1" s="38" t="s">
        <v>8</v>
      </c>
      <c r="J1" s="38" t="s">
        <v>9</v>
      </c>
      <c r="K1" s="38" t="s">
        <v>10</v>
      </c>
      <c r="L1" s="39" t="s">
        <v>11</v>
      </c>
      <c r="M1" s="39" t="s">
        <v>113</v>
      </c>
      <c r="N1" s="39" t="s">
        <v>114</v>
      </c>
      <c r="O1" s="38" t="s">
        <v>115</v>
      </c>
    </row>
    <row r="2" spans="1:15" ht="60" customHeight="1" x14ac:dyDescent="0.3">
      <c r="A2" s="40" t="s">
        <v>12</v>
      </c>
      <c r="B2" s="41" t="s">
        <v>116</v>
      </c>
      <c r="C2" s="41" t="s">
        <v>117</v>
      </c>
      <c r="D2" s="41" t="s">
        <v>118</v>
      </c>
      <c r="E2" s="41" t="s">
        <v>119</v>
      </c>
      <c r="F2" s="42">
        <v>5000</v>
      </c>
      <c r="G2" s="42">
        <v>200</v>
      </c>
      <c r="H2" s="42">
        <v>100</v>
      </c>
      <c r="I2" s="43">
        <v>0.1</v>
      </c>
      <c r="J2" s="43">
        <v>0.1</v>
      </c>
      <c r="K2" s="44">
        <f>F2*I2 + (G2+H2)*0.2</f>
        <v>560</v>
      </c>
      <c r="L2" s="45">
        <f>M2*J2</f>
        <v>596.25</v>
      </c>
      <c r="M2" s="46">
        <f>(F2+G2+H2)*(1-I2) / (1-I2-J2)</f>
        <v>5962.5</v>
      </c>
      <c r="N2" s="44">
        <f>M2*0.8</f>
        <v>4770</v>
      </c>
      <c r="O2" s="45">
        <f>M2-K2-N2</f>
        <v>632.5</v>
      </c>
    </row>
    <row r="3" spans="1:15" ht="60" customHeight="1" x14ac:dyDescent="0.3">
      <c r="A3" s="47" t="s">
        <v>120</v>
      </c>
      <c r="B3" s="48" t="s">
        <v>116</v>
      </c>
      <c r="C3" s="48" t="s">
        <v>121</v>
      </c>
      <c r="D3" s="48" t="s">
        <v>122</v>
      </c>
      <c r="E3" s="48" t="s">
        <v>123</v>
      </c>
      <c r="F3" s="49">
        <v>5000</v>
      </c>
      <c r="G3" s="49">
        <v>200</v>
      </c>
      <c r="H3" s="49">
        <v>100</v>
      </c>
      <c r="I3" s="50">
        <v>0.1</v>
      </c>
      <c r="J3" s="50">
        <v>0.1</v>
      </c>
      <c r="K3" s="51">
        <f>F3*I3 + (G3+H3)*0.2</f>
        <v>560</v>
      </c>
      <c r="L3" s="51">
        <f>F3*J3</f>
        <v>500</v>
      </c>
      <c r="M3" s="51">
        <f>(F3+G3+H3)+L3</f>
        <v>5800</v>
      </c>
      <c r="N3" s="51">
        <f>(F3+G3+H3)-K3-L3</f>
        <v>4240</v>
      </c>
      <c r="O3" s="52">
        <f>L3</f>
        <v>500</v>
      </c>
    </row>
    <row r="4" spans="1:15" ht="60" customHeight="1" x14ac:dyDescent="0.3">
      <c r="A4" s="53" t="s">
        <v>21</v>
      </c>
      <c r="B4" s="54" t="s">
        <v>116</v>
      </c>
      <c r="C4" s="54" t="s">
        <v>124</v>
      </c>
      <c r="D4" s="54" t="s">
        <v>122</v>
      </c>
      <c r="E4" s="54" t="s">
        <v>125</v>
      </c>
      <c r="F4" s="55">
        <v>5000</v>
      </c>
      <c r="G4" s="55">
        <v>200</v>
      </c>
      <c r="H4" s="55">
        <v>100</v>
      </c>
      <c r="I4" s="56">
        <v>0.1</v>
      </c>
      <c r="J4" s="56">
        <v>0.1</v>
      </c>
      <c r="K4" s="57">
        <f>F4*I4 + (G4+H4)*0.2</f>
        <v>560</v>
      </c>
      <c r="L4" s="57">
        <f>(F4+G4+H4)*J4</f>
        <v>530</v>
      </c>
      <c r="M4" s="57">
        <f>(F4+G4+H4)+L4</f>
        <v>5830</v>
      </c>
      <c r="N4" s="57">
        <f>(F4+G4+H4)-K4-L4</f>
        <v>4210</v>
      </c>
      <c r="O4" s="58">
        <f>L4</f>
        <v>530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REGLAS</vt:lpstr>
      <vt:lpstr>REGLAS_ACTUALES_COTIZADOR</vt:lpstr>
      <vt:lpstr>REGLAS_ACTUALES_COTIZADOR_POR_I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Donoso</cp:lastModifiedBy>
  <dcterms:created xsi:type="dcterms:W3CDTF">2026-04-02T17:21:33Z</dcterms:created>
  <dcterms:modified xsi:type="dcterms:W3CDTF">2026-04-02T18:38:35Z</dcterms:modified>
</cp:coreProperties>
</file>