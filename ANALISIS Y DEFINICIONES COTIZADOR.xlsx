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AI\cotizador-web-mp\"/>
    </mc:Choice>
  </mc:AlternateContent>
  <xr:revisionPtr revIDLastSave="0" documentId="13_ncr:1_{B828D4C4-ED6E-459C-9D5C-2754D71F1AFE}" xr6:coauthVersionLast="47" xr6:coauthVersionMax="47" xr10:uidLastSave="{00000000-0000-0000-0000-000000000000}"/>
  <bookViews>
    <workbookView xWindow="22932" yWindow="-108" windowWidth="23256" windowHeight="12456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3" l="1"/>
  <c r="E26" i="3"/>
  <c r="E27" i="3"/>
  <c r="F28" i="3"/>
  <c r="G28" i="3"/>
  <c r="H28" i="3"/>
  <c r="I28" i="3"/>
  <c r="J28" i="3"/>
  <c r="G27" i="3"/>
  <c r="H27" i="3"/>
  <c r="I27" i="3"/>
  <c r="J27" i="3"/>
  <c r="F27" i="3"/>
  <c r="F25" i="3" l="1"/>
  <c r="G25" i="3"/>
  <c r="H25" i="3"/>
  <c r="I25" i="3"/>
  <c r="J25" i="3"/>
  <c r="E25" i="3"/>
  <c r="F24" i="3"/>
  <c r="G24" i="3"/>
  <c r="H24" i="3"/>
  <c r="I24" i="3"/>
  <c r="J24" i="3"/>
  <c r="E24" i="3"/>
  <c r="F15" i="3"/>
  <c r="G15" i="3"/>
  <c r="H15" i="3"/>
  <c r="I15" i="3"/>
  <c r="J15" i="3"/>
  <c r="E15" i="3"/>
  <c r="F14" i="3"/>
  <c r="G14" i="3"/>
  <c r="H14" i="3"/>
  <c r="I14" i="3"/>
  <c r="J14" i="3"/>
  <c r="F13" i="3"/>
  <c r="G13" i="3"/>
  <c r="H13" i="3"/>
  <c r="I13" i="3"/>
  <c r="J13" i="3"/>
  <c r="E13" i="3"/>
  <c r="E14" i="3"/>
</calcChain>
</file>

<file path=xl/sharedStrings.xml><?xml version="1.0" encoding="utf-8"?>
<sst xmlns="http://schemas.openxmlformats.org/spreadsheetml/2006/main" count="331" uniqueCount="170">
  <si>
    <t/>
  </si>
  <si>
    <t>COTIZACIÓN</t>
  </si>
  <si>
    <t/>
  </si>
  <si>
    <t/>
  </si>
  <si>
    <t/>
  </si>
  <si>
    <t>COT-2026-0025</t>
  </si>
  <si>
    <t/>
  </si>
  <si>
    <t/>
  </si>
  <si>
    <t/>
  </si>
  <si>
    <t>2 de abril de 2026</t>
  </si>
  <si>
    <t/>
  </si>
  <si>
    <t/>
  </si>
  <si>
    <t/>
  </si>
  <si>
    <t>UF del día: 39.841,72</t>
  </si>
  <si>
    <t/>
  </si>
  <si>
    <t/>
  </si>
  <si>
    <t>MAESTRA</t>
  </si>
  <si>
    <t>VALORES</t>
  </si>
  <si>
    <t>Concepto</t>
  </si>
  <si>
    <t>UF</t>
  </si>
  <si>
    <t>%</t>
  </si>
  <si>
    <t>$</t>
  </si>
  <si>
    <t>Precio Lista Departamento N°1601</t>
  </si>
  <si>
    <t>3.319,00 UF</t>
  </si>
  <si>
    <t>88.5%</t>
  </si>
  <si>
    <t>$132.234.669</t>
  </si>
  <si>
    <t>Precio Lista Bodega N°16</t>
  </si>
  <si>
    <t>80,00 UF</t>
  </si>
  <si>
    <t>2.1%</t>
  </si>
  <si>
    <t>$3.187.338</t>
  </si>
  <si>
    <t>Precio Lista Estacionamiento N°120</t>
  </si>
  <si>
    <t>350,00 UF</t>
  </si>
  <si>
    <t>9.3%</t>
  </si>
  <si>
    <t>$13.944.602</t>
  </si>
  <si>
    <t>Descuento Venta (13.0%)</t>
  </si>
  <si>
    <t>-431,47 UF</t>
  </si>
  <si>
    <t/>
  </si>
  <si>
    <t>$-17.190.507</t>
  </si>
  <si>
    <t>Valor de Venta</t>
  </si>
  <si>
    <t>3.317,53 UF</t>
  </si>
  <si>
    <t>100%</t>
  </si>
  <si>
    <t>$132.176.101</t>
  </si>
  <si>
    <t>PLAN DE PAGO — PIE (10%)</t>
  </si>
  <si>
    <t/>
  </si>
  <si>
    <t/>
  </si>
  <si>
    <t/>
  </si>
  <si>
    <t>Concepto</t>
  </si>
  <si>
    <t>UF</t>
  </si>
  <si>
    <t>%</t>
  </si>
  <si>
    <t>$</t>
  </si>
  <si>
    <t>Pie Total</t>
  </si>
  <si>
    <t>331,75 UF</t>
  </si>
  <si>
    <t>10.0%</t>
  </si>
  <si>
    <t>$13.217.491</t>
  </si>
  <si>
    <t>Reserva</t>
  </si>
  <si>
    <t>2,51 UF</t>
  </si>
  <si>
    <t>0.1%</t>
  </si>
  <si>
    <t>$100.003</t>
  </si>
  <si>
    <t>Upfront a la Promesa (0%)</t>
  </si>
  <si>
    <t>0,00 UF</t>
  </si>
  <si>
    <t>0.0%</t>
  </si>
  <si>
    <t>$0</t>
  </si>
  <si>
    <t>Saldo Pie — 60 cuotas</t>
  </si>
  <si>
    <t>329,24 UF</t>
  </si>
  <si>
    <t>9.9%</t>
  </si>
  <si>
    <t>$13.117.610</t>
  </si>
  <si>
    <t>Valor cuota pie / mes</t>
  </si>
  <si>
    <t>5,49 UF</t>
  </si>
  <si>
    <t/>
  </si>
  <si>
    <t>$218.627</t>
  </si>
  <si>
    <t>Pie Período Construcción — cuotas decrecientes (10%)</t>
  </si>
  <si>
    <t>331,75 UF</t>
  </si>
  <si>
    <t>10.0%</t>
  </si>
  <si>
    <t>$13.217.491</t>
  </si>
  <si>
    <t>Total Pie a Inmobiliaria</t>
  </si>
  <si>
    <t>663,50 UF</t>
  </si>
  <si>
    <t>20.0%</t>
  </si>
  <si>
    <t>$26.434.981</t>
  </si>
  <si>
    <t>Pie Período Construcción: las cuotas disminuyen mes a mes conforme avanza la obra.</t>
  </si>
  <si>
    <t/>
  </si>
  <si>
    <t/>
  </si>
  <si>
    <t/>
  </si>
  <si>
    <t>CRÉDITO DIRECTO INMOBILIARIA (10%)</t>
  </si>
  <si>
    <t>Concepto</t>
  </si>
  <si>
    <t>UF</t>
  </si>
  <si>
    <t>%</t>
  </si>
  <si>
    <t>$</t>
  </si>
  <si>
    <t>Monto financiado por inmobiliaria</t>
  </si>
  <si>
    <t>331,75 UF</t>
  </si>
  <si>
    <t>10.0%</t>
  </si>
  <si>
    <t>$13.217.491</t>
  </si>
  <si>
    <t>Crédito Directo: plazo y tasa de interés se acuerdan directamente con la inmobiliaria.</t>
  </si>
  <si>
    <t/>
  </si>
  <si>
    <t/>
  </si>
  <si>
    <t/>
  </si>
  <si>
    <t>CRÉDITO HIPOTECARIO</t>
  </si>
  <si>
    <t>Concepto</t>
  </si>
  <si>
    <t>UF</t>
  </si>
  <si>
    <t>%</t>
  </si>
  <si>
    <t>$</t>
  </si>
  <si>
    <t>Valor de Venta</t>
  </si>
  <si>
    <t>3.317,53 UF</t>
  </si>
  <si>
    <t>88.9%</t>
  </si>
  <si>
    <t>$132.176.101</t>
  </si>
  <si>
    <t>Pie (10%)</t>
  </si>
  <si>
    <t>331,75 UF</t>
  </si>
  <si>
    <t>10.0%</t>
  </si>
  <si>
    <t>$13.217.491</t>
  </si>
  <si>
    <t>Aporte Inmobiliaria (11%)</t>
  </si>
  <si>
    <t>414,69 UF</t>
  </si>
  <si>
    <t>11.1%</t>
  </si>
  <si>
    <t>$16.521.963</t>
  </si>
  <si>
    <t>Tasación Banco</t>
  </si>
  <si>
    <t>3.732,22 UF</t>
  </si>
  <si>
    <t>100%</t>
  </si>
  <si>
    <t>$148.698.064</t>
  </si>
  <si>
    <t>Crédito Hipotecario</t>
  </si>
  <si>
    <t>2.985,78 UF</t>
  </si>
  <si>
    <t>80.0%</t>
  </si>
  <si>
    <t>$118.958.611</t>
  </si>
  <si>
    <t>CRÉDITO HIPOTECARIO — ESCENARIOS CAE</t>
  </si>
  <si>
    <t/>
  </si>
  <si>
    <t/>
  </si>
  <si>
    <t/>
  </si>
  <si>
    <t>Concepto</t>
  </si>
  <si>
    <t>CAE 4.0%</t>
  </si>
  <si>
    <t>CAE 4.0%</t>
  </si>
  <si>
    <t>CAE 4.0%</t>
  </si>
  <si>
    <t>Cuota mensual ($)</t>
  </si>
  <si>
    <t>$567.927</t>
  </si>
  <si>
    <t>$567.927</t>
  </si>
  <si>
    <t>$567.927</t>
  </si>
  <si>
    <t>Cuota mensual (UF)</t>
  </si>
  <si>
    <t>14,25 UF</t>
  </si>
  <si>
    <t>14,25 UF</t>
  </si>
  <si>
    <t>14,25 UF</t>
  </si>
  <si>
    <t>Arriendo est. mensual ($)</t>
  </si>
  <si>
    <t>$450.000</t>
  </si>
  <si>
    <t>$460.000</t>
  </si>
  <si>
    <t>$470.000</t>
  </si>
  <si>
    <t>Esta cotización ha sido elaborada para apoyarte en la evaluación de esta oportunidad inmobiliaria, considerando las condiciones comerciales vigentes informadas por la inmobiliaria a la fecha de emisión.</t>
  </si>
  <si>
    <r>
      <rPr>
        <sz val="6"/>
        <rFont val="Arial"/>
      </rPr>
      <t xml:space="preserve">La información aquí contenida es de carácter referencial y puede experimentar variaciones en valores, beneficios o condiciones comerciales según lo que finalmente defina la inmobiliaria para cada </t>
    </r>
    <r>
      <rPr>
        <sz val="6"/>
        <rFont val="Arial"/>
      </rPr>
      <t xml:space="preserve">
caso. Asimismo, los montos expresados en UF están sujetos a la variación del índice oficial publicado por el Banco Central de Chile, y las condiciones de financiamiento hipotecario dependerán de la </t>
    </r>
    <r>
      <rPr>
        <sz val="6"/>
        <rFont val="Arial"/>
      </rPr>
      <t xml:space="preserve">
evaluación y aprobación de la entidad financiera respectiva. Cotización emitida el 2 de abril de 2026.</t>
    </r>
  </si>
  <si>
    <t/>
  </si>
  <si>
    <t>COTIZACIÓN</t>
  </si>
  <si>
    <t/>
  </si>
  <si>
    <t/>
  </si>
  <si>
    <t/>
  </si>
  <si>
    <t>COT-2026-0025</t>
  </si>
  <si>
    <t/>
  </si>
  <si>
    <t/>
  </si>
  <si>
    <t/>
  </si>
  <si>
    <t>2 de abril de 2026</t>
  </si>
  <si>
    <t/>
  </si>
  <si>
    <t/>
  </si>
  <si>
    <t/>
  </si>
  <si>
    <t>UF del día: 39.841,72</t>
  </si>
  <si>
    <t/>
  </si>
  <si>
    <t/>
  </si>
  <si>
    <t>INGEVEC</t>
  </si>
  <si>
    <t>RVC</t>
  </si>
  <si>
    <t>URMENETA</t>
  </si>
  <si>
    <t>TOCTOC</t>
  </si>
  <si>
    <t>EURO</t>
  </si>
  <si>
    <t>STOCK SEGÚN SELECCIÓN EN COTIZADOR</t>
  </si>
  <si>
    <t>CONDICIONES COMERCIALES SEGÚN SELECCIÓN EN COTIZADOR</t>
  </si>
  <si>
    <t>SUMATORIA DE VALORES</t>
  </si>
  <si>
    <t>SUMATORIA DE PLAN DE PAGO — PIE</t>
  </si>
  <si>
    <t>RESERVA CONDICIONES_COMERCIALES SEGÚN SELECCIÓN EN COTIZADOR</t>
  </si>
  <si>
    <t>SEGÚN REGLA VIGENTE EN PROGRAMA</t>
  </si>
  <si>
    <t>BONO PIE CONDICIONES_COMERCIALES SEGÚN SELECCIÓN EN COTIZADOR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</si>
</sst>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name val="Calibri"/>
      <family val="2"/>
    </font>
    <font>
      <sz val="11"/>
      <name val="Arial"/>
      <family val="2"/>
    </font>
    <font>
      <b/>
      <sz val="11"/>
      <color rgb="FF111827"/>
      <name val="Arial"/>
      <family val="2"/>
    </font>
    <font>
      <sz val="7.5"/>
      <name val="Times New Roman"/>
      <family val="2"/>
    </font>
    <font>
      <b/>
      <sz val="9"/>
      <color rgb="FF1D4ED8"/>
      <name val="Arial"/>
      <family val="2"/>
    </font>
    <font>
      <sz val="9"/>
      <name val="Calibri"/>
      <family val="2"/>
    </font>
    <font>
      <sz val="6"/>
      <name val="Times New Roman"/>
      <family val="2"/>
    </font>
    <font>
      <sz val="7"/>
      <color rgb="FF6B7280"/>
      <name val="Arial"/>
      <family val="2"/>
    </font>
    <font>
      <sz val="7"/>
      <name val="Calibri"/>
      <family val="2"/>
    </font>
    <font>
      <b/>
      <sz val="7"/>
      <color rgb="FF1D4ED8"/>
      <name val="Arial"/>
      <family val="2"/>
    </font>
    <font>
      <b/>
      <sz val="7"/>
      <color rgb="FF111827"/>
      <name val="Arial"/>
      <family val="2"/>
    </font>
    <font>
      <b/>
      <sz val="7"/>
      <color rgb="FFFFFFFF"/>
      <name val="Arial"/>
      <family val="2"/>
    </font>
    <font>
      <sz val="7"/>
      <color rgb="FF111827"/>
      <name val="Arial"/>
      <family val="2"/>
    </font>
    <font>
      <sz val="7"/>
      <color rgb="FFDC2626"/>
      <name val="Arial"/>
      <family val="2"/>
    </font>
    <font>
      <b/>
      <sz val="7"/>
      <color rgb="FF92400E"/>
      <name val="Arial"/>
      <family val="2"/>
    </font>
    <font>
      <sz val="6.5"/>
      <color rgb="FF92400E"/>
      <name val="Arial"/>
      <family val="2"/>
    </font>
    <font>
      <sz val="6"/>
      <color rgb="FF6B7280"/>
      <name val="Arial"/>
      <family val="2"/>
    </font>
    <font>
      <sz val="6"/>
      <name val="Arial"/>
    </font>
  </fonts>
  <fills count="8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11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right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12" fillId="3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10" fillId="4" borderId="0" xfId="0" applyFont="1" applyFill="1" applyAlignment="1">
      <alignment horizontal="left"/>
    </xf>
    <xf numFmtId="0" fontId="10" fillId="4" borderId="0" xfId="0" applyFont="1" applyFill="1" applyAlignment="1">
      <alignment horizontal="right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10" fillId="4" borderId="0" xfId="0" applyFont="1" applyFill="1" applyAlignment="1">
      <alignment horizontal="left" vertical="center"/>
    </xf>
    <xf numFmtId="0" fontId="10" fillId="4" borderId="0" xfId="0" applyFont="1" applyFill="1" applyAlignment="1">
      <alignment horizontal="right" vertical="center"/>
    </xf>
    <xf numFmtId="0" fontId="8" fillId="4" borderId="0" xfId="0" applyFont="1" applyFill="1" applyAlignment="1">
      <alignment horizontal="left"/>
    </xf>
    <xf numFmtId="0" fontId="14" fillId="5" borderId="0" xfId="0" applyFont="1" applyFill="1" applyAlignment="1">
      <alignment horizontal="left" vertical="center"/>
    </xf>
    <xf numFmtId="0" fontId="14" fillId="5" borderId="0" xfId="0" applyFont="1" applyFill="1" applyAlignment="1">
      <alignment horizontal="right" vertical="center"/>
    </xf>
    <xf numFmtId="0" fontId="10" fillId="3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right" vertical="center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vertical="center"/>
    </xf>
    <xf numFmtId="0" fontId="2" fillId="0" borderId="0" xfId="0" applyFont="1" applyAlignment="1">
      <alignment horizontal="right"/>
    </xf>
    <xf numFmtId="0" fontId="0" fillId="0" borderId="0" xfId="0" applyAlignment="1">
      <alignment horizontal="left"/>
    </xf>
    <xf numFmtId="0" fontId="4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9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9" fillId="0" borderId="0" xfId="0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11" fillId="2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right" vertical="center" wrapText="1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left" vertical="center" wrapText="1"/>
    </xf>
    <xf numFmtId="0" fontId="12" fillId="3" borderId="0" xfId="0" applyFont="1" applyFill="1" applyAlignment="1">
      <alignment horizontal="right" vertical="center" wrapText="1"/>
    </xf>
    <xf numFmtId="0" fontId="8" fillId="0" borderId="0" xfId="0" applyFont="1" applyAlignment="1">
      <alignment horizontal="left" wrapText="1"/>
    </xf>
    <xf numFmtId="0" fontId="13" fillId="0" borderId="0" xfId="0" applyFont="1" applyAlignment="1">
      <alignment horizontal="right" vertical="center" wrapText="1"/>
    </xf>
    <xf numFmtId="0" fontId="10" fillId="4" borderId="0" xfId="0" applyFont="1" applyFill="1" applyAlignment="1">
      <alignment horizontal="left" wrapText="1"/>
    </xf>
    <xf numFmtId="0" fontId="10" fillId="4" borderId="0" xfId="0" applyFont="1" applyFill="1" applyAlignment="1">
      <alignment horizontal="right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right" vertical="center" wrapText="1"/>
    </xf>
    <xf numFmtId="0" fontId="10" fillId="4" borderId="0" xfId="0" applyFont="1" applyFill="1" applyAlignment="1">
      <alignment horizontal="left" vertical="center" wrapText="1"/>
    </xf>
    <xf numFmtId="0" fontId="10" fillId="4" borderId="0" xfId="0" applyFont="1" applyFill="1" applyAlignment="1">
      <alignment horizontal="right" vertical="center" wrapText="1"/>
    </xf>
    <xf numFmtId="0" fontId="8" fillId="4" borderId="0" xfId="0" applyFont="1" applyFill="1" applyAlignment="1">
      <alignment horizontal="left" wrapText="1"/>
    </xf>
    <xf numFmtId="0" fontId="14" fillId="5" borderId="0" xfId="0" applyFont="1" applyFill="1" applyAlignment="1">
      <alignment horizontal="left" vertical="center" wrapText="1"/>
    </xf>
    <xf numFmtId="0" fontId="14" fillId="5" borderId="0" xfId="0" applyFont="1" applyFill="1" applyAlignment="1">
      <alignment horizontal="right" vertical="center" wrapText="1"/>
    </xf>
    <xf numFmtId="0" fontId="10" fillId="3" borderId="0" xfId="0" applyFont="1" applyFill="1" applyAlignment="1">
      <alignment horizontal="left" vertical="center" wrapText="1"/>
    </xf>
    <xf numFmtId="0" fontId="10" fillId="3" borderId="0" xfId="0" applyFont="1" applyFill="1" applyAlignment="1">
      <alignment horizontal="right" vertical="center" wrapText="1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left" wrapText="1"/>
    </xf>
    <xf numFmtId="0" fontId="0" fillId="6" borderId="2" xfId="0" applyFill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7" borderId="2" xfId="0" applyFill="1" applyBorder="1" applyAlignment="1">
      <alignment horizontal="left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C966E08-2E62-4BC9-9556-BA1CD19AEC6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1777418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1777418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workbookViewId="0">
      <selection activeCell="A5" sqref="A5:XFD32"/>
    </sheetView>
  </sheetViews>
  <sheetFormatPr defaultRowHeight="14.4"/>
  <cols>
    <col min="1" max="1" width="51"/>
    <col min="2" max="2" width="17"/>
    <col min="3" max="3" width="15"/>
    <col min="4" max="4" width="19"/>
  </cols>
  <sheetData>
    <row r="1" spans="1:4" ht="13.95" customHeight="1">
      <c r="A1" s="1" t="s">
        <v>0</v>
      </c>
      <c r="B1" s="30" t="s">
        <v>1</v>
      </c>
      <c r="C1" s="30" t="s">
        <v>2</v>
      </c>
      <c r="D1" s="30" t="s">
        <v>3</v>
      </c>
    </row>
    <row r="2" spans="1:4" ht="12" customHeight="1">
      <c r="A2" s="3" t="s">
        <v>4</v>
      </c>
      <c r="B2" s="32" t="s">
        <v>5</v>
      </c>
      <c r="C2" s="32" t="s">
        <v>6</v>
      </c>
      <c r="D2" s="32" t="s">
        <v>7</v>
      </c>
    </row>
    <row r="3" spans="1:4" ht="10.050000000000001" customHeight="1">
      <c r="A3" s="6" t="s">
        <v>8</v>
      </c>
      <c r="B3" s="33" t="s">
        <v>9</v>
      </c>
      <c r="C3" s="33" t="s">
        <v>10</v>
      </c>
      <c r="D3" s="33" t="s">
        <v>11</v>
      </c>
    </row>
    <row r="4" spans="1:4" ht="10.050000000000001" customHeight="1">
      <c r="A4" s="8" t="s">
        <v>12</v>
      </c>
      <c r="B4" s="7" t="s">
        <v>13</v>
      </c>
      <c r="C4" s="8" t="s">
        <v>14</v>
      </c>
      <c r="D4" s="8" t="s">
        <v>15</v>
      </c>
    </row>
    <row r="5" spans="1:4" ht="19.05" customHeight="1">
      <c r="A5" s="34" t="s">
        <v>17</v>
      </c>
      <c r="B5" s="31"/>
      <c r="C5" s="31"/>
      <c r="D5" s="31"/>
    </row>
    <row r="6" spans="1:4" ht="16.95" customHeight="1">
      <c r="A6" s="9" t="s">
        <v>18</v>
      </c>
      <c r="B6" s="10" t="s">
        <v>19</v>
      </c>
      <c r="C6" s="10" t="s">
        <v>20</v>
      </c>
      <c r="D6" s="10" t="s">
        <v>21</v>
      </c>
    </row>
    <row r="7" spans="1:4" ht="15" customHeight="1">
      <c r="A7" s="11" t="s">
        <v>22</v>
      </c>
      <c r="B7" s="12" t="s">
        <v>23</v>
      </c>
      <c r="C7" s="12" t="s">
        <v>24</v>
      </c>
      <c r="D7" s="12" t="s">
        <v>25</v>
      </c>
    </row>
    <row r="8" spans="1:4" ht="13.95" customHeight="1">
      <c r="A8" s="13" t="s">
        <v>26</v>
      </c>
      <c r="B8" s="14" t="s">
        <v>27</v>
      </c>
      <c r="C8" s="14" t="s">
        <v>28</v>
      </c>
      <c r="D8" s="14" t="s">
        <v>29</v>
      </c>
    </row>
    <row r="9" spans="1:4" ht="13.95" customHeight="1">
      <c r="A9" s="13" t="s">
        <v>30</v>
      </c>
      <c r="B9" s="14" t="s">
        <v>31</v>
      </c>
      <c r="C9" s="14" t="s">
        <v>32</v>
      </c>
      <c r="D9" s="14" t="s">
        <v>33</v>
      </c>
    </row>
    <row r="10" spans="1:4" ht="12" customHeight="1">
      <c r="A10" s="11" t="s">
        <v>34</v>
      </c>
      <c r="B10" s="12" t="s">
        <v>35</v>
      </c>
      <c r="C10" s="8" t="s">
        <v>36</v>
      </c>
      <c r="D10" s="15" t="s">
        <v>37</v>
      </c>
    </row>
    <row r="11" spans="1:4" ht="10.050000000000001" customHeight="1">
      <c r="A11" s="16" t="s">
        <v>38</v>
      </c>
      <c r="B11" s="17" t="s">
        <v>39</v>
      </c>
      <c r="C11" s="17" t="s">
        <v>40</v>
      </c>
      <c r="D11" s="17" t="s">
        <v>41</v>
      </c>
    </row>
    <row r="12" spans="1:4" ht="19.95" customHeight="1">
      <c r="A12" s="18" t="s">
        <v>42</v>
      </c>
      <c r="B12" s="8" t="s">
        <v>43</v>
      </c>
      <c r="C12" s="8" t="s">
        <v>44</v>
      </c>
      <c r="D12" s="8" t="s">
        <v>45</v>
      </c>
    </row>
    <row r="13" spans="1:4" ht="16.95" customHeight="1">
      <c r="A13" s="9" t="s">
        <v>46</v>
      </c>
      <c r="B13" s="10" t="s">
        <v>47</v>
      </c>
      <c r="C13" s="10" t="s">
        <v>48</v>
      </c>
      <c r="D13" s="10" t="s">
        <v>49</v>
      </c>
    </row>
    <row r="14" spans="1:4" ht="13.95" customHeight="1">
      <c r="A14" s="19" t="s">
        <v>50</v>
      </c>
      <c r="B14" s="20" t="s">
        <v>51</v>
      </c>
      <c r="C14" s="20" t="s">
        <v>52</v>
      </c>
      <c r="D14" s="20" t="s">
        <v>53</v>
      </c>
    </row>
    <row r="15" spans="1:4" ht="13.95" customHeight="1">
      <c r="A15" s="13" t="s">
        <v>54</v>
      </c>
      <c r="B15" s="14" t="s">
        <v>55</v>
      </c>
      <c r="C15" s="14" t="s">
        <v>56</v>
      </c>
      <c r="D15" s="14" t="s">
        <v>57</v>
      </c>
    </row>
    <row r="16" spans="1:4" ht="13.95" customHeight="1">
      <c r="A16" s="11" t="s">
        <v>58</v>
      </c>
      <c r="B16" s="12" t="s">
        <v>59</v>
      </c>
      <c r="C16" s="12" t="s">
        <v>60</v>
      </c>
      <c r="D16" s="12" t="s">
        <v>61</v>
      </c>
    </row>
    <row r="17" spans="1:4" ht="13.95" customHeight="1">
      <c r="A17" s="13" t="s">
        <v>62</v>
      </c>
      <c r="B17" s="14" t="s">
        <v>63</v>
      </c>
      <c r="C17" s="14" t="s">
        <v>64</v>
      </c>
      <c r="D17" s="14" t="s">
        <v>65</v>
      </c>
    </row>
    <row r="18" spans="1:4" ht="13.95" customHeight="1">
      <c r="A18" s="21" t="s">
        <v>66</v>
      </c>
      <c r="B18" s="22" t="s">
        <v>67</v>
      </c>
      <c r="C18" s="23" t="s">
        <v>68</v>
      </c>
      <c r="D18" s="22" t="s">
        <v>69</v>
      </c>
    </row>
    <row r="19" spans="1:4" ht="13.95" customHeight="1">
      <c r="A19" s="24" t="s">
        <v>70</v>
      </c>
      <c r="B19" s="25" t="s">
        <v>71</v>
      </c>
      <c r="C19" s="25" t="s">
        <v>72</v>
      </c>
      <c r="D19" s="25" t="s">
        <v>73</v>
      </c>
    </row>
    <row r="20" spans="1:4" ht="12" customHeight="1">
      <c r="A20" s="26" t="s">
        <v>74</v>
      </c>
      <c r="B20" s="27" t="s">
        <v>75</v>
      </c>
      <c r="C20" s="27" t="s">
        <v>76</v>
      </c>
      <c r="D20" s="27" t="s">
        <v>77</v>
      </c>
    </row>
    <row r="21" spans="1:4" ht="9" customHeight="1">
      <c r="A21" s="28" t="s">
        <v>78</v>
      </c>
      <c r="B21" s="8" t="s">
        <v>79</v>
      </c>
      <c r="C21" s="8" t="s">
        <v>80</v>
      </c>
      <c r="D21" s="8" t="s">
        <v>81</v>
      </c>
    </row>
    <row r="22" spans="1:4" ht="19.05" customHeight="1">
      <c r="A22" s="34" t="s">
        <v>82</v>
      </c>
      <c r="B22" s="31"/>
      <c r="C22" s="31"/>
      <c r="D22" s="31"/>
    </row>
    <row r="23" spans="1:4" ht="16.95" customHeight="1">
      <c r="A23" s="9" t="s">
        <v>83</v>
      </c>
      <c r="B23" s="10" t="s">
        <v>84</v>
      </c>
      <c r="C23" s="10" t="s">
        <v>85</v>
      </c>
      <c r="D23" s="10" t="s">
        <v>86</v>
      </c>
    </row>
    <row r="24" spans="1:4" ht="15" customHeight="1">
      <c r="A24" s="24" t="s">
        <v>87</v>
      </c>
      <c r="B24" s="25" t="s">
        <v>88</v>
      </c>
      <c r="C24" s="25" t="s">
        <v>89</v>
      </c>
      <c r="D24" s="25" t="s">
        <v>90</v>
      </c>
    </row>
    <row r="25" spans="1:4" ht="13.95" customHeight="1">
      <c r="A25" s="29" t="s">
        <v>91</v>
      </c>
      <c r="B25" s="8" t="s">
        <v>92</v>
      </c>
      <c r="C25" s="8" t="s">
        <v>93</v>
      </c>
      <c r="D25" s="8" t="s">
        <v>94</v>
      </c>
    </row>
    <row r="26" spans="1:4" ht="19.05" customHeight="1">
      <c r="A26" s="34" t="s">
        <v>95</v>
      </c>
      <c r="B26" s="31"/>
      <c r="C26" s="31"/>
      <c r="D26" s="31"/>
    </row>
    <row r="27" spans="1:4" ht="16.95" customHeight="1">
      <c r="A27" s="9" t="s">
        <v>96</v>
      </c>
      <c r="B27" s="10" t="s">
        <v>97</v>
      </c>
      <c r="C27" s="10" t="s">
        <v>98</v>
      </c>
      <c r="D27" s="10" t="s">
        <v>99</v>
      </c>
    </row>
    <row r="28" spans="1:4" ht="15" customHeight="1">
      <c r="A28" s="13" t="s">
        <v>100</v>
      </c>
      <c r="B28" s="14" t="s">
        <v>101</v>
      </c>
      <c r="C28" s="14" t="s">
        <v>102</v>
      </c>
      <c r="D28" s="14" t="s">
        <v>103</v>
      </c>
    </row>
    <row r="29" spans="1:4" ht="13.95" customHeight="1">
      <c r="A29" s="11" t="s">
        <v>104</v>
      </c>
      <c r="B29" s="12" t="s">
        <v>105</v>
      </c>
      <c r="C29" s="12" t="s">
        <v>106</v>
      </c>
      <c r="D29" s="12" t="s">
        <v>107</v>
      </c>
    </row>
    <row r="30" spans="1:4" ht="13.95" customHeight="1">
      <c r="A30" s="11" t="s">
        <v>108</v>
      </c>
      <c r="B30" s="12" t="s">
        <v>109</v>
      </c>
      <c r="C30" s="12" t="s">
        <v>110</v>
      </c>
      <c r="D30" s="12" t="s">
        <v>111</v>
      </c>
    </row>
    <row r="31" spans="1:4" ht="12" customHeight="1">
      <c r="A31" s="26" t="s">
        <v>112</v>
      </c>
      <c r="B31" s="27" t="s">
        <v>113</v>
      </c>
      <c r="C31" s="27" t="s">
        <v>114</v>
      </c>
      <c r="D31" s="27" t="s">
        <v>115</v>
      </c>
    </row>
    <row r="32" spans="1:4" ht="10.050000000000001" customHeight="1">
      <c r="A32" s="16" t="s">
        <v>116</v>
      </c>
      <c r="B32" s="17" t="s">
        <v>117</v>
      </c>
      <c r="C32" s="17" t="s">
        <v>118</v>
      </c>
      <c r="D32" s="17" t="s">
        <v>119</v>
      </c>
    </row>
    <row r="33" spans="1:4" ht="19.95" customHeight="1">
      <c r="A33" s="18" t="s">
        <v>120</v>
      </c>
      <c r="B33" s="8" t="s">
        <v>121</v>
      </c>
      <c r="C33" s="8" t="s">
        <v>122</v>
      </c>
      <c r="D33" s="8" t="s">
        <v>123</v>
      </c>
    </row>
    <row r="34" spans="1:4" ht="16.95" customHeight="1">
      <c r="A34" s="9" t="s">
        <v>124</v>
      </c>
      <c r="B34" s="10" t="s">
        <v>125</v>
      </c>
      <c r="C34" s="10" t="s">
        <v>126</v>
      </c>
      <c r="D34" s="10" t="s">
        <v>127</v>
      </c>
    </row>
    <row r="35" spans="1:4" ht="13.95" customHeight="1">
      <c r="A35" s="13" t="s">
        <v>128</v>
      </c>
      <c r="B35" s="14" t="s">
        <v>129</v>
      </c>
      <c r="C35" s="14" t="s">
        <v>130</v>
      </c>
      <c r="D35" s="14" t="s">
        <v>131</v>
      </c>
    </row>
    <row r="36" spans="1:4" ht="13.95" customHeight="1">
      <c r="A36" s="11" t="s">
        <v>132</v>
      </c>
      <c r="B36" s="12" t="s">
        <v>133</v>
      </c>
      <c r="C36" s="12" t="s">
        <v>134</v>
      </c>
      <c r="D36" s="12" t="s">
        <v>135</v>
      </c>
    </row>
    <row r="37" spans="1:4" ht="13.95" customHeight="1">
      <c r="A37" s="13" t="s">
        <v>136</v>
      </c>
      <c r="B37" s="14" t="s">
        <v>137</v>
      </c>
      <c r="C37" s="14" t="s">
        <v>138</v>
      </c>
      <c r="D37" s="14" t="s">
        <v>139</v>
      </c>
    </row>
    <row r="38" spans="1:4" ht="10.95" customHeight="1">
      <c r="A38" s="35" t="s">
        <v>140</v>
      </c>
      <c r="B38" s="31"/>
      <c r="C38" s="31"/>
      <c r="D38" s="31"/>
    </row>
    <row r="39" spans="1:4" ht="28.95" customHeight="1">
      <c r="A39" s="36" t="s">
        <v>141</v>
      </c>
      <c r="B39" s="31"/>
      <c r="C39" s="31"/>
      <c r="D39" s="31"/>
    </row>
  </sheetData>
  <mergeCells count="8">
    <mergeCell ref="A39:D39"/>
    <mergeCell ref="A5:D5"/>
    <mergeCell ref="A22:D22"/>
    <mergeCell ref="A26:D26"/>
    <mergeCell ref="A38:D38"/>
    <mergeCell ref="B1:D1"/>
    <mergeCell ref="B2:D2"/>
    <mergeCell ref="B3:D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A5" sqref="A5:D32"/>
    </sheetView>
  </sheetViews>
  <sheetFormatPr defaultRowHeight="14.4"/>
  <cols>
    <col min="1" max="1" width="39"/>
    <col min="2" max="3" width="22"/>
    <col min="4" max="4" width="9"/>
  </cols>
  <sheetData>
    <row r="1" spans="1:4" ht="13.95" customHeight="1">
      <c r="A1" s="1" t="s">
        <v>142</v>
      </c>
      <c r="B1" s="2" t="s">
        <v>143</v>
      </c>
      <c r="C1" t="s">
        <v>144</v>
      </c>
      <c r="D1" t="s">
        <v>145</v>
      </c>
    </row>
    <row r="2" spans="1:4" ht="12" customHeight="1">
      <c r="A2" s="3" t="s">
        <v>146</v>
      </c>
      <c r="B2" s="4" t="s">
        <v>147</v>
      </c>
      <c r="C2" s="5" t="s">
        <v>148</v>
      </c>
      <c r="D2" s="5" t="s">
        <v>149</v>
      </c>
    </row>
    <row r="3" spans="1:4" ht="10.050000000000001" customHeight="1">
      <c r="A3" s="6" t="s">
        <v>150</v>
      </c>
      <c r="B3" s="7" t="s">
        <v>151</v>
      </c>
      <c r="C3" s="8" t="s">
        <v>152</v>
      </c>
      <c r="D3" s="8" t="s">
        <v>153</v>
      </c>
    </row>
    <row r="4" spans="1:4" ht="10.050000000000001" customHeight="1">
      <c r="A4" s="8" t="s">
        <v>154</v>
      </c>
      <c r="B4" s="7" t="s">
        <v>155</v>
      </c>
      <c r="C4" s="8" t="s">
        <v>156</v>
      </c>
      <c r="D4" s="8" t="s">
        <v>157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20555-84A6-421D-B67C-306F1CCAE38A}">
  <dimension ref="A1:J28"/>
  <sheetViews>
    <sheetView tabSelected="1" zoomScaleNormal="100" workbookViewId="0">
      <pane ySplit="2" topLeftCell="A3" activePane="bottomLeft" state="frozen"/>
      <selection pane="bottomLeft" activeCell="F26" sqref="F26"/>
    </sheetView>
  </sheetViews>
  <sheetFormatPr defaultRowHeight="14.4"/>
  <cols>
    <col min="1" max="1" width="47.88671875" style="37" bestFit="1" customWidth="1"/>
    <col min="2" max="2" width="8.44140625" style="37" bestFit="1" customWidth="1"/>
    <col min="3" max="3" width="4.6640625" style="37" bestFit="1" customWidth="1"/>
    <col min="4" max="4" width="9.21875" style="37" bestFit="1" customWidth="1"/>
    <col min="5" max="10" width="22.44140625" style="37" customWidth="1"/>
    <col min="11" max="16384" width="8.88671875" style="37"/>
  </cols>
  <sheetData>
    <row r="1" spans="1:10" ht="15" thickBot="1">
      <c r="A1" s="38" t="s">
        <v>17</v>
      </c>
      <c r="B1" s="39"/>
      <c r="C1" s="39"/>
      <c r="D1" s="39"/>
    </row>
    <row r="2" spans="1:10">
      <c r="A2" s="40" t="s">
        <v>18</v>
      </c>
      <c r="B2" s="41" t="s">
        <v>19</v>
      </c>
      <c r="C2" s="41" t="s">
        <v>20</v>
      </c>
      <c r="D2" s="41" t="s">
        <v>21</v>
      </c>
      <c r="E2" s="62" t="s">
        <v>16</v>
      </c>
      <c r="F2" s="62" t="s">
        <v>158</v>
      </c>
      <c r="G2" s="62" t="s">
        <v>159</v>
      </c>
      <c r="H2" s="62" t="s">
        <v>160</v>
      </c>
      <c r="I2" s="62" t="s">
        <v>161</v>
      </c>
      <c r="J2" s="62" t="s">
        <v>162</v>
      </c>
    </row>
    <row r="3" spans="1:10" ht="43.2">
      <c r="A3" s="42" t="s">
        <v>22</v>
      </c>
      <c r="B3" s="43" t="s">
        <v>23</v>
      </c>
      <c r="C3" s="43" t="s">
        <v>24</v>
      </c>
      <c r="D3" s="43" t="s">
        <v>25</v>
      </c>
      <c r="E3" s="63" t="s">
        <v>163</v>
      </c>
      <c r="F3" s="63" t="s">
        <v>163</v>
      </c>
      <c r="G3" s="63" t="s">
        <v>163</v>
      </c>
      <c r="H3" s="63" t="s">
        <v>163</v>
      </c>
      <c r="I3" s="63" t="s">
        <v>163</v>
      </c>
      <c r="J3" s="63" t="s">
        <v>163</v>
      </c>
    </row>
    <row r="4" spans="1:10" ht="43.2">
      <c r="A4" s="44" t="s">
        <v>26</v>
      </c>
      <c r="B4" s="45" t="s">
        <v>27</v>
      </c>
      <c r="C4" s="45" t="s">
        <v>28</v>
      </c>
      <c r="D4" s="45" t="s">
        <v>29</v>
      </c>
      <c r="E4" s="63" t="s">
        <v>163</v>
      </c>
      <c r="F4" s="63" t="s">
        <v>163</v>
      </c>
      <c r="G4" s="63" t="s">
        <v>163</v>
      </c>
      <c r="H4" s="63" t="s">
        <v>163</v>
      </c>
      <c r="I4" s="63" t="s">
        <v>163</v>
      </c>
      <c r="J4" s="63" t="s">
        <v>163</v>
      </c>
    </row>
    <row r="5" spans="1:10" ht="43.2">
      <c r="A5" s="44" t="s">
        <v>30</v>
      </c>
      <c r="B5" s="45" t="s">
        <v>31</v>
      </c>
      <c r="C5" s="45" t="s">
        <v>32</v>
      </c>
      <c r="D5" s="45" t="s">
        <v>33</v>
      </c>
      <c r="E5" s="63" t="s">
        <v>163</v>
      </c>
      <c r="F5" s="63" t="s">
        <v>163</v>
      </c>
      <c r="G5" s="63" t="s">
        <v>163</v>
      </c>
      <c r="H5" s="63" t="s">
        <v>163</v>
      </c>
      <c r="I5" s="63" t="s">
        <v>163</v>
      </c>
      <c r="J5" s="63" t="s">
        <v>163</v>
      </c>
    </row>
    <row r="6" spans="1:10" ht="57.6">
      <c r="A6" s="42" t="s">
        <v>34</v>
      </c>
      <c r="B6" s="43" t="s">
        <v>35</v>
      </c>
      <c r="C6" s="46" t="s">
        <v>0</v>
      </c>
      <c r="D6" s="47" t="s">
        <v>37</v>
      </c>
      <c r="E6" s="63" t="s">
        <v>164</v>
      </c>
      <c r="F6" s="63" t="s">
        <v>164</v>
      </c>
      <c r="G6" s="63" t="s">
        <v>164</v>
      </c>
      <c r="H6" s="63" t="s">
        <v>164</v>
      </c>
      <c r="I6" s="63" t="s">
        <v>164</v>
      </c>
      <c r="J6" s="63" t="s">
        <v>164</v>
      </c>
    </row>
    <row r="7" spans="1:10">
      <c r="A7" s="48" t="s">
        <v>38</v>
      </c>
      <c r="B7" s="49" t="s">
        <v>39</v>
      </c>
      <c r="C7" s="49" t="s">
        <v>40</v>
      </c>
      <c r="D7" s="49" t="s">
        <v>41</v>
      </c>
      <c r="E7" s="63" t="s">
        <v>165</v>
      </c>
      <c r="F7" s="63" t="s">
        <v>165</v>
      </c>
      <c r="G7" s="63" t="s">
        <v>165</v>
      </c>
      <c r="H7" s="63" t="s">
        <v>165</v>
      </c>
      <c r="I7" s="63" t="s">
        <v>165</v>
      </c>
      <c r="J7" s="63" t="s">
        <v>165</v>
      </c>
    </row>
    <row r="8" spans="1:10">
      <c r="A8" s="50" t="s">
        <v>42</v>
      </c>
      <c r="B8" s="46" t="s">
        <v>0</v>
      </c>
      <c r="C8" s="46" t="s">
        <v>0</v>
      </c>
      <c r="D8" s="46" t="s">
        <v>0</v>
      </c>
      <c r="E8" s="63"/>
      <c r="F8" s="63"/>
      <c r="G8" s="63"/>
      <c r="H8" s="63"/>
      <c r="I8" s="63"/>
      <c r="J8" s="63"/>
    </row>
    <row r="9" spans="1:10">
      <c r="A9" s="40" t="s">
        <v>18</v>
      </c>
      <c r="B9" s="41" t="s">
        <v>19</v>
      </c>
      <c r="C9" s="41" t="s">
        <v>20</v>
      </c>
      <c r="D9" s="41" t="s">
        <v>21</v>
      </c>
      <c r="E9" s="63"/>
      <c r="F9" s="63"/>
      <c r="G9" s="63"/>
      <c r="H9" s="63"/>
      <c r="I9" s="63"/>
      <c r="J9" s="63"/>
    </row>
    <row r="10" spans="1:10" ht="28.8">
      <c r="A10" s="51" t="s">
        <v>50</v>
      </c>
      <c r="B10" s="52" t="s">
        <v>51</v>
      </c>
      <c r="C10" s="52" t="s">
        <v>52</v>
      </c>
      <c r="D10" s="52" t="s">
        <v>53</v>
      </c>
      <c r="E10" s="63" t="s">
        <v>166</v>
      </c>
      <c r="F10" s="63" t="s">
        <v>166</v>
      </c>
      <c r="G10" s="63" t="s">
        <v>166</v>
      </c>
      <c r="H10" s="63" t="s">
        <v>166</v>
      </c>
      <c r="I10" s="63" t="s">
        <v>166</v>
      </c>
      <c r="J10" s="63" t="s">
        <v>166</v>
      </c>
    </row>
    <row r="11" spans="1:10" ht="57.6">
      <c r="A11" s="44" t="s">
        <v>54</v>
      </c>
      <c r="B11" s="45" t="s">
        <v>55</v>
      </c>
      <c r="C11" s="45" t="s">
        <v>56</v>
      </c>
      <c r="D11" s="45" t="s">
        <v>57</v>
      </c>
      <c r="E11" s="63" t="s">
        <v>167</v>
      </c>
      <c r="F11" s="63" t="s">
        <v>167</v>
      </c>
      <c r="G11" s="63" t="s">
        <v>167</v>
      </c>
      <c r="H11" s="63" t="s">
        <v>167</v>
      </c>
      <c r="I11" s="63" t="s">
        <v>167</v>
      </c>
      <c r="J11" s="63" t="s">
        <v>167</v>
      </c>
    </row>
    <row r="12" spans="1:10" ht="28.8">
      <c r="A12" s="42" t="s">
        <v>58</v>
      </c>
      <c r="B12" s="43" t="s">
        <v>59</v>
      </c>
      <c r="C12" s="43" t="s">
        <v>60</v>
      </c>
      <c r="D12" s="43" t="s">
        <v>61</v>
      </c>
      <c r="E12" s="63" t="s">
        <v>168</v>
      </c>
      <c r="F12" s="63" t="s">
        <v>168</v>
      </c>
      <c r="G12" s="63" t="s">
        <v>168</v>
      </c>
      <c r="H12" s="63" t="s">
        <v>168</v>
      </c>
      <c r="I12" s="63" t="s">
        <v>168</v>
      </c>
      <c r="J12" s="63" t="s">
        <v>168</v>
      </c>
    </row>
    <row r="13" spans="1:10" ht="86.4">
      <c r="A13" s="44" t="s">
        <v>62</v>
      </c>
      <c r="B13" s="45" t="s">
        <v>63</v>
      </c>
      <c r="C13" s="45" t="s">
        <v>64</v>
      </c>
      <c r="D13" s="45" t="s">
        <v>65</v>
      </c>
      <c r="E13" s="63" t="str">
        <f>UPPER($A$16)&amp;"-"&amp;UPPER($A$10)&amp;"/"&amp;"CUOTAS PIE CONDICIONES_COMERCIALES SEGÚN SELECCIÓN EN COTIZADOR"</f>
        <v>TOTAL PIE A INMOBILIARIA-PIE TOTAL/CUOTAS PIE CONDICIONES_COMERCIALES SEGÚN SELECCIÓN EN COTIZADOR</v>
      </c>
      <c r="F13" s="63" t="str">
        <f t="shared" ref="F13:J13" si="0">UPPER($A$16)&amp;"-"&amp;UPPER($A$10)&amp;"/"&amp;"CUOTAS PIE CONDICIONES_COMERCIALES SEGÚN SELECCIÓN EN COTIZADOR"</f>
        <v>TOTAL PIE A INMOBILIARIA-PIE TOTAL/CUOTAS PIE CONDICIONES_COMERCIALES SEGÚN SELECCIÓN EN COTIZADOR</v>
      </c>
      <c r="G13" s="63" t="str">
        <f t="shared" si="0"/>
        <v>TOTAL PIE A INMOBILIARIA-PIE TOTAL/CUOTAS PIE CONDICIONES_COMERCIALES SEGÚN SELECCIÓN EN COTIZADOR</v>
      </c>
      <c r="H13" s="63" t="str">
        <f t="shared" si="0"/>
        <v>TOTAL PIE A INMOBILIARIA-PIE TOTAL/CUOTAS PIE CONDICIONES_COMERCIALES SEGÚN SELECCIÓN EN COTIZADOR</v>
      </c>
      <c r="I13" s="63" t="str">
        <f t="shared" si="0"/>
        <v>TOTAL PIE A INMOBILIARIA-PIE TOTAL/CUOTAS PIE CONDICIONES_COMERCIALES SEGÚN SELECCIÓN EN COTIZADOR</v>
      </c>
      <c r="J13" s="63" t="str">
        <f t="shared" si="0"/>
        <v>TOTAL PIE A INMOBILIARIA-PIE TOTAL/CUOTAS PIE CONDICIONES_COMERCIALES SEGÚN SELECCIÓN EN COTIZADOR</v>
      </c>
    </row>
    <row r="14" spans="1:10" ht="57.6">
      <c r="A14" s="53" t="s">
        <v>66</v>
      </c>
      <c r="B14" s="54" t="s">
        <v>67</v>
      </c>
      <c r="C14" s="55" t="s">
        <v>0</v>
      </c>
      <c r="D14" s="54" t="s">
        <v>69</v>
      </c>
      <c r="E14" s="63" t="str">
        <f>UPPER(_xlfn.TEXTBEFORE($A$13," — ",1))&amp;"/CUOTAS PIE CONDICIONES_COMERCIALES SEGÚN SELECCIÓN EN COTIZADOR"</f>
        <v>SALDO PIE/CUOTAS PIE CONDICIONES_COMERCIALES SEGÚN SELECCIÓN EN COTIZADOR</v>
      </c>
      <c r="F14" s="63" t="str">
        <f t="shared" ref="F14:J14" si="1">UPPER(_xlfn.TEXTBEFORE($A$13," — ",1))&amp;"/CUOTAS PIE CONDICIONES_COMERCIALES SEGÚN SELECCIÓN EN COTIZADOR"</f>
        <v>SALDO PIE/CUOTAS PIE CONDICIONES_COMERCIALES SEGÚN SELECCIÓN EN COTIZADOR</v>
      </c>
      <c r="G14" s="63" t="str">
        <f t="shared" si="1"/>
        <v>SALDO PIE/CUOTAS PIE CONDICIONES_COMERCIALES SEGÚN SELECCIÓN EN COTIZADOR</v>
      </c>
      <c r="H14" s="63" t="str">
        <f t="shared" si="1"/>
        <v>SALDO PIE/CUOTAS PIE CONDICIONES_COMERCIALES SEGÚN SELECCIÓN EN COTIZADOR</v>
      </c>
      <c r="I14" s="63" t="str">
        <f t="shared" si="1"/>
        <v>SALDO PIE/CUOTAS PIE CONDICIONES_COMERCIALES SEGÚN SELECCIÓN EN COTIZADOR</v>
      </c>
      <c r="J14" s="63" t="str">
        <f t="shared" si="1"/>
        <v>SALDO PIE/CUOTAS PIE CONDICIONES_COMERCIALES SEGÚN SELECCIÓN EN COTIZADOR</v>
      </c>
    </row>
    <row r="15" spans="1:10">
      <c r="A15" s="56" t="s">
        <v>70</v>
      </c>
      <c r="B15" s="57" t="s">
        <v>51</v>
      </c>
      <c r="C15" s="57" t="s">
        <v>52</v>
      </c>
      <c r="D15" s="57" t="s">
        <v>53</v>
      </c>
      <c r="E15" s="63" t="str">
        <f>UPPER($A$10)</f>
        <v>PIE TOTAL</v>
      </c>
      <c r="F15" s="63" t="str">
        <f t="shared" ref="F15:J15" si="2">UPPER($A$10)</f>
        <v>PIE TOTAL</v>
      </c>
      <c r="G15" s="63" t="str">
        <f t="shared" si="2"/>
        <v>PIE TOTAL</v>
      </c>
      <c r="H15" s="63" t="str">
        <f t="shared" si="2"/>
        <v>PIE TOTAL</v>
      </c>
      <c r="I15" s="63" t="str">
        <f t="shared" si="2"/>
        <v>PIE TOTAL</v>
      </c>
      <c r="J15" s="63" t="str">
        <f t="shared" si="2"/>
        <v>PIE TOTAL</v>
      </c>
    </row>
    <row r="16" spans="1:10" ht="28.8">
      <c r="A16" s="58" t="s">
        <v>74</v>
      </c>
      <c r="B16" s="59" t="s">
        <v>75</v>
      </c>
      <c r="C16" s="59" t="s">
        <v>76</v>
      </c>
      <c r="D16" s="59" t="s">
        <v>77</v>
      </c>
      <c r="E16" s="63" t="s">
        <v>168</v>
      </c>
      <c r="F16" s="63" t="s">
        <v>168</v>
      </c>
      <c r="G16" s="63" t="s">
        <v>168</v>
      </c>
      <c r="H16" s="63" t="s">
        <v>168</v>
      </c>
      <c r="I16" s="63" t="s">
        <v>168</v>
      </c>
      <c r="J16" s="63" t="s">
        <v>168</v>
      </c>
    </row>
    <row r="17" spans="1:10">
      <c r="A17" s="60" t="s">
        <v>78</v>
      </c>
      <c r="B17" s="46" t="s">
        <v>0</v>
      </c>
      <c r="C17" s="46" t="s">
        <v>0</v>
      </c>
      <c r="D17" s="46" t="s">
        <v>0</v>
      </c>
      <c r="E17" s="63"/>
      <c r="F17" s="63"/>
      <c r="G17" s="63"/>
      <c r="H17" s="63"/>
      <c r="I17" s="63"/>
      <c r="J17" s="63"/>
    </row>
    <row r="18" spans="1:10">
      <c r="A18" s="38" t="s">
        <v>82</v>
      </c>
      <c r="B18" s="39"/>
      <c r="C18" s="39"/>
      <c r="D18" s="39"/>
      <c r="E18" s="63"/>
      <c r="F18" s="63"/>
      <c r="G18" s="63"/>
      <c r="H18" s="63"/>
      <c r="I18" s="63"/>
      <c r="J18" s="63"/>
    </row>
    <row r="19" spans="1:10">
      <c r="A19" s="40" t="s">
        <v>18</v>
      </c>
      <c r="B19" s="41" t="s">
        <v>19</v>
      </c>
      <c r="C19" s="41" t="s">
        <v>20</v>
      </c>
      <c r="D19" s="41" t="s">
        <v>21</v>
      </c>
      <c r="E19" s="63"/>
      <c r="F19" s="63"/>
      <c r="G19" s="63"/>
      <c r="H19" s="63"/>
      <c r="I19" s="63"/>
      <c r="J19" s="63"/>
    </row>
    <row r="20" spans="1:10" ht="28.8">
      <c r="A20" s="56" t="s">
        <v>87</v>
      </c>
      <c r="B20" s="57" t="s">
        <v>51</v>
      </c>
      <c r="C20" s="57" t="s">
        <v>52</v>
      </c>
      <c r="D20" s="57" t="s">
        <v>53</v>
      </c>
      <c r="E20" s="63" t="s">
        <v>168</v>
      </c>
      <c r="F20" s="63" t="s">
        <v>168</v>
      </c>
      <c r="G20" s="63" t="s">
        <v>168</v>
      </c>
      <c r="H20" s="63" t="s">
        <v>168</v>
      </c>
      <c r="I20" s="63" t="s">
        <v>168</v>
      </c>
      <c r="J20" s="63" t="s">
        <v>168</v>
      </c>
    </row>
    <row r="21" spans="1:10">
      <c r="A21" s="61" t="s">
        <v>91</v>
      </c>
      <c r="B21" s="46" t="s">
        <v>0</v>
      </c>
      <c r="C21" s="46" t="s">
        <v>0</v>
      </c>
      <c r="D21" s="46" t="s">
        <v>0</v>
      </c>
      <c r="E21" s="63"/>
      <c r="F21" s="63"/>
      <c r="G21" s="63"/>
      <c r="H21" s="63"/>
      <c r="I21" s="63"/>
      <c r="J21" s="63"/>
    </row>
    <row r="22" spans="1:10">
      <c r="A22" s="38" t="s">
        <v>95</v>
      </c>
      <c r="B22" s="39"/>
      <c r="C22" s="39"/>
      <c r="D22" s="39"/>
      <c r="E22" s="63"/>
      <c r="F22" s="63"/>
      <c r="G22" s="63"/>
      <c r="H22" s="63"/>
      <c r="I22" s="63"/>
      <c r="J22" s="63"/>
    </row>
    <row r="23" spans="1:10">
      <c r="A23" s="40" t="s">
        <v>18</v>
      </c>
      <c r="B23" s="41" t="s">
        <v>19</v>
      </c>
      <c r="C23" s="41" t="s">
        <v>20</v>
      </c>
      <c r="D23" s="41" t="s">
        <v>21</v>
      </c>
      <c r="E23" s="63"/>
      <c r="F23" s="63"/>
      <c r="G23" s="63"/>
      <c r="H23" s="63"/>
      <c r="I23" s="63"/>
      <c r="J23" s="63"/>
    </row>
    <row r="24" spans="1:10">
      <c r="A24" s="44" t="s">
        <v>38</v>
      </c>
      <c r="B24" s="45" t="s">
        <v>39</v>
      </c>
      <c r="C24" s="45" t="s">
        <v>102</v>
      </c>
      <c r="D24" s="45" t="s">
        <v>41</v>
      </c>
      <c r="E24" s="63" t="str">
        <f>UPPER($A$7)</f>
        <v>VALOR DE VENTA</v>
      </c>
      <c r="F24" s="63" t="str">
        <f t="shared" ref="F24:J24" si="3">UPPER($A$7)</f>
        <v>VALOR DE VENTA</v>
      </c>
      <c r="G24" s="63" t="str">
        <f t="shared" si="3"/>
        <v>VALOR DE VENTA</v>
      </c>
      <c r="H24" s="63" t="str">
        <f t="shared" si="3"/>
        <v>VALOR DE VENTA</v>
      </c>
      <c r="I24" s="63" t="str">
        <f t="shared" si="3"/>
        <v>VALOR DE VENTA</v>
      </c>
      <c r="J24" s="63" t="str">
        <f t="shared" si="3"/>
        <v>VALOR DE VENTA</v>
      </c>
    </row>
    <row r="25" spans="1:10">
      <c r="A25" s="42" t="s">
        <v>104</v>
      </c>
      <c r="B25" s="43" t="s">
        <v>51</v>
      </c>
      <c r="C25" s="43" t="s">
        <v>52</v>
      </c>
      <c r="D25" s="43" t="s">
        <v>53</v>
      </c>
      <c r="E25" s="63" t="str">
        <f>UPPER($A$10)</f>
        <v>PIE TOTAL</v>
      </c>
      <c r="F25" s="63" t="str">
        <f t="shared" ref="F25:J25" si="4">UPPER($A$10)</f>
        <v>PIE TOTAL</v>
      </c>
      <c r="G25" s="63" t="str">
        <f t="shared" si="4"/>
        <v>PIE TOTAL</v>
      </c>
      <c r="H25" s="63" t="str">
        <f t="shared" si="4"/>
        <v>PIE TOTAL</v>
      </c>
      <c r="I25" s="63" t="str">
        <f t="shared" si="4"/>
        <v>PIE TOTAL</v>
      </c>
      <c r="J25" s="63" t="str">
        <f t="shared" si="4"/>
        <v>PIE TOTAL</v>
      </c>
    </row>
    <row r="26" spans="1:10" ht="144">
      <c r="A26" s="42" t="s">
        <v>108</v>
      </c>
      <c r="B26" s="43" t="s">
        <v>109</v>
      </c>
      <c r="C26" s="43" t="s">
        <v>110</v>
      </c>
      <c r="D26" s="43" t="s">
        <v>111</v>
      </c>
      <c r="E26" s="64" t="str">
        <f>E27&amp;"-"&amp;E25&amp;"-"&amp;E28</f>
        <v>VALOR DE VENTA+BONO PIE CONDICIONES_COMERCIALES SEGÚN SELECCIÓN EN COTIZADOR-PIE TOTAL-VALOR DE VENTA+BONO PIE CONDICIONES_COMERCIALES SEGÚN SELECCIÓN EN COTIZADOR*80%</v>
      </c>
      <c r="F26" s="66" t="s">
        <v>169</v>
      </c>
      <c r="G26" s="66" t="s">
        <v>169</v>
      </c>
      <c r="H26" s="66" t="s">
        <v>169</v>
      </c>
      <c r="I26" s="66" t="s">
        <v>169</v>
      </c>
      <c r="J26" s="66" t="s">
        <v>169</v>
      </c>
    </row>
    <row r="27" spans="1:10" ht="72">
      <c r="A27" s="58" t="s">
        <v>112</v>
      </c>
      <c r="B27" s="59" t="s">
        <v>113</v>
      </c>
      <c r="C27" s="59" t="s">
        <v>40</v>
      </c>
      <c r="D27" s="59" t="s">
        <v>115</v>
      </c>
      <c r="E27" s="63" t="str">
        <f>F27</f>
        <v>VALOR DE VENTA+BONO PIE CONDICIONES_COMERCIALES SEGÚN SELECCIÓN EN COTIZADOR</v>
      </c>
      <c r="F27" s="63" t="str">
        <f>F24&amp;"+"&amp;F26</f>
        <v>VALOR DE VENTA+BONO PIE CONDICIONES_COMERCIALES SEGÚN SELECCIÓN EN COTIZADOR</v>
      </c>
      <c r="G27" s="63" t="str">
        <f t="shared" ref="G27:J27" si="5">G24&amp;"+"&amp;G26</f>
        <v>VALOR DE VENTA+BONO PIE CONDICIONES_COMERCIALES SEGÚN SELECCIÓN EN COTIZADOR</v>
      </c>
      <c r="H27" s="63" t="str">
        <f t="shared" si="5"/>
        <v>VALOR DE VENTA+BONO PIE CONDICIONES_COMERCIALES SEGÚN SELECCIÓN EN COTIZADOR</v>
      </c>
      <c r="I27" s="63" t="str">
        <f t="shared" si="5"/>
        <v>VALOR DE VENTA+BONO PIE CONDICIONES_COMERCIALES SEGÚN SELECCIÓN EN COTIZADOR</v>
      </c>
      <c r="J27" s="63" t="str">
        <f t="shared" si="5"/>
        <v>VALOR DE VENTA+BONO PIE CONDICIONES_COMERCIALES SEGÚN SELECCIÓN EN COTIZADOR</v>
      </c>
    </row>
    <row r="28" spans="1:10" ht="72.599999999999994" thickBot="1">
      <c r="A28" s="48" t="s">
        <v>116</v>
      </c>
      <c r="B28" s="49" t="s">
        <v>117</v>
      </c>
      <c r="C28" s="49" t="s">
        <v>118</v>
      </c>
      <c r="D28" s="49" t="s">
        <v>119</v>
      </c>
      <c r="E28" s="65" t="str">
        <f>E27&amp;"*80%"</f>
        <v>VALOR DE VENTA+BONO PIE CONDICIONES_COMERCIALES SEGÚN SELECCIÓN EN COTIZADOR*80%</v>
      </c>
      <c r="F28" s="65" t="str">
        <f>F27&amp;"*80%"</f>
        <v>VALOR DE VENTA+BONO PIE CONDICIONES_COMERCIALES SEGÚN SELECCIÓN EN COTIZADOR*80%</v>
      </c>
      <c r="G28" s="65" t="str">
        <f t="shared" ref="G28:J28" si="6">G27&amp;"*80%"</f>
        <v>VALOR DE VENTA+BONO PIE CONDICIONES_COMERCIALES SEGÚN SELECCIÓN EN COTIZADOR*80%</v>
      </c>
      <c r="H28" s="65" t="str">
        <f t="shared" si="6"/>
        <v>VALOR DE VENTA+BONO PIE CONDICIONES_COMERCIALES SEGÚN SELECCIÓN EN COTIZADOR*80%</v>
      </c>
      <c r="I28" s="65" t="str">
        <f t="shared" si="6"/>
        <v>VALOR DE VENTA+BONO PIE CONDICIONES_COMERCIALES SEGÚN SELECCIÓN EN COTIZADOR*80%</v>
      </c>
      <c r="J28" s="65" t="str">
        <f t="shared" si="6"/>
        <v>VALOR DE VENTA+BONO PIE CONDICIONES_COMERCIALES SEGÚN SELECCIÓN EN COTIZADOR*80%</v>
      </c>
    </row>
  </sheetData>
  <mergeCells count="3">
    <mergeCell ref="A1:D1"/>
    <mergeCell ref="A18:D18"/>
    <mergeCell ref="A22:D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Felipe Donoso</cp:lastModifiedBy>
  <dcterms:created xsi:type="dcterms:W3CDTF">2026-04-03T16:15:13Z</dcterms:created>
  <dcterms:modified xsi:type="dcterms:W3CDTF">2026-04-03T17:02:41Z</dcterms:modified>
</cp:coreProperties>
</file>