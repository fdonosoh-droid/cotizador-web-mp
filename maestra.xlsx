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cotizador-web-mp\"/>
    </mc:Choice>
  </mc:AlternateContent>
  <xr:revisionPtr revIDLastSave="0" documentId="13_ncr:1_{33978A0E-EC5F-4576-9DF7-AF68052E1152}" xr6:coauthVersionLast="47" xr6:coauthVersionMax="47" xr10:uidLastSave="{00000000-0000-0000-0000-000000000000}"/>
  <bookViews>
    <workbookView xWindow="-108" yWindow="-108" windowWidth="23256" windowHeight="12456" activeTab="1" xr2:uid="{192F143D-BAEC-4662-86EC-0FD2BF508275}"/>
  </bookViews>
  <sheets>
    <sheet name="Condiciones Comerciales" sheetId="1" r:id="rId1"/>
    <sheet name="Calculadora BP+Mutuo" sheetId="2" r:id="rId2"/>
  </sheets>
  <definedNames>
    <definedName name="_xlnm._FilterDatabase" localSheetId="0" hidden="1">'Condiciones Comerciales'!$A$3:$M$21</definedName>
    <definedName name="_xlnm.Print_Area" localSheetId="1">'Calculadora BP+Mutuo'!$B$6:$H$39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D18" i="2" s="1"/>
  <c r="D21" i="2" s="1"/>
  <c r="D33" i="2"/>
  <c r="D44" i="2"/>
  <c r="D43" i="2"/>
  <c r="D25" i="2"/>
  <c r="D20" i="2"/>
  <c r="D19" i="2"/>
  <c r="D13" i="2"/>
  <c r="D7" i="2"/>
  <c r="F28" i="2" s="1"/>
  <c r="I9" i="1"/>
  <c r="I8" i="1"/>
  <c r="I7" i="1"/>
  <c r="I6" i="1"/>
  <c r="I5" i="1"/>
  <c r="I4" i="1"/>
  <c r="D27" i="2" l="1"/>
  <c r="E27" i="2" s="1"/>
  <c r="D29" i="2"/>
  <c r="D35" i="2" s="1"/>
  <c r="D28" i="2"/>
  <c r="E28" i="2" s="1"/>
  <c r="G28" i="2"/>
  <c r="E25" i="2"/>
  <c r="D37" i="2" l="1"/>
  <c r="H28" i="2"/>
  <c r="F31" i="2"/>
  <c r="F30" i="2"/>
  <c r="G29" i="2"/>
  <c r="G30" i="2" s="1"/>
  <c r="G31" i="2"/>
  <c r="H31" i="2" s="1"/>
  <c r="F29" i="2"/>
  <c r="E29" i="2"/>
  <c r="F32" i="2" l="1"/>
  <c r="H32" i="2" s="1"/>
  <c r="G32" i="2"/>
  <c r="D38" i="2"/>
  <c r="E37" i="2"/>
  <c r="G38" i="2" l="1"/>
  <c r="E38" i="2"/>
  <c r="D36" i="2"/>
  <c r="E36" i="2" s="1"/>
  <c r="H38" i="2" l="1"/>
  <c r="H44" i="2"/>
  <c r="H45" i="2" s="1"/>
</calcChain>
</file>

<file path=xl/sharedStrings.xml><?xml version="1.0" encoding="utf-8"?>
<sst xmlns="http://schemas.openxmlformats.org/spreadsheetml/2006/main" count="513" uniqueCount="175">
  <si>
    <t>CHECK LIST PARA VB DE PROMESAS MAESTRA BROKERS</t>
  </si>
  <si>
    <t>Condiciones ABRIL 2026</t>
  </si>
  <si>
    <t>PROYECTO</t>
  </si>
  <si>
    <t>ENTREGA</t>
  </si>
  <si>
    <t>COMUNA</t>
  </si>
  <si>
    <t>Descuento Base</t>
  </si>
  <si>
    <t>Dcto Adicional</t>
  </si>
  <si>
    <t>Giftcard</t>
  </si>
  <si>
    <t>Upfront</t>
  </si>
  <si>
    <t>Pie en cuotas</t>
  </si>
  <si>
    <t>UPAGO Cuotas</t>
  </si>
  <si>
    <t>Cuota desde</t>
  </si>
  <si>
    <t>Certificado Pago</t>
  </si>
  <si>
    <t>Mutuo UPAGO</t>
  </si>
  <si>
    <t>RAZÓN SOCIAL</t>
  </si>
  <si>
    <t>RUT</t>
  </si>
  <si>
    <t xml:space="preserve">PD </t>
  </si>
  <si>
    <t>Vista Llacolén B2</t>
  </si>
  <si>
    <t>Concepción</t>
  </si>
  <si>
    <t>UF 7,0</t>
  </si>
  <si>
    <t>No</t>
  </si>
  <si>
    <t>ENTREGA INMEDIATA</t>
  </si>
  <si>
    <t>ENTREGA FUTURA</t>
  </si>
  <si>
    <t>Aldunate</t>
  </si>
  <si>
    <t>MAESTRA SANTA ROSA SPA</t>
  </si>
  <si>
    <t>76409319-4</t>
  </si>
  <si>
    <t>Vista Llacolén A</t>
  </si>
  <si>
    <t>Alto Buzeta (MT)</t>
  </si>
  <si>
    <t>MAESTRA TRAVESIA SPA</t>
  </si>
  <si>
    <t>77700583-9</t>
  </si>
  <si>
    <t>SERRANO TORRE A</t>
  </si>
  <si>
    <t>Puerto Montt</t>
  </si>
  <si>
    <t>RUT escaneado</t>
  </si>
  <si>
    <t>Apostol Santiago</t>
  </si>
  <si>
    <t>MAESTRA ENTRE RIOS SPA</t>
  </si>
  <si>
    <t>76411296-2</t>
  </si>
  <si>
    <t>General Mackenna</t>
  </si>
  <si>
    <t>Temuco</t>
  </si>
  <si>
    <t>Reserva Firmada y pagada</t>
  </si>
  <si>
    <t>Liquidaciones de Sueldo</t>
  </si>
  <si>
    <t>Cáceres</t>
  </si>
  <si>
    <t>MAESTRA PROYECTOS SPA</t>
  </si>
  <si>
    <t>77274888-4</t>
  </si>
  <si>
    <t>Vistamar</t>
  </si>
  <si>
    <t>Coquimbo</t>
  </si>
  <si>
    <t>2% SurOriente</t>
  </si>
  <si>
    <t>Aprobación de Crédito</t>
  </si>
  <si>
    <t>VISTA LLACOLEN SPA</t>
  </si>
  <si>
    <t>77684759-3</t>
  </si>
  <si>
    <t>Distrito Centro</t>
  </si>
  <si>
    <t>Chillán</t>
  </si>
  <si>
    <t>Promesa firmada</t>
  </si>
  <si>
    <t>Pre-Aprobación de Crédito + Infocheck Crédito Full</t>
  </si>
  <si>
    <t>Jardines de Alvarado</t>
  </si>
  <si>
    <t>MAESTRA DON RODRIGO SPA</t>
  </si>
  <si>
    <t>76416917-4</t>
  </si>
  <si>
    <t>Inmediata</t>
  </si>
  <si>
    <t>Cerrillos</t>
  </si>
  <si>
    <t>3% 3D</t>
  </si>
  <si>
    <t>GOP</t>
  </si>
  <si>
    <t>Creditú</t>
  </si>
  <si>
    <t>Mutuo y GOP pagado (si aplica)</t>
  </si>
  <si>
    <t>Mirador Mapocho</t>
  </si>
  <si>
    <t>Pintor Cicarelli I (PC I)</t>
  </si>
  <si>
    <t>Pre-entrega</t>
  </si>
  <si>
    <t>San Joaquín</t>
  </si>
  <si>
    <t>Mutuo con pago automático Upago</t>
  </si>
  <si>
    <t>Upfront pagado</t>
  </si>
  <si>
    <t>PINTOR CICARELLI I SPA</t>
  </si>
  <si>
    <t>77684746-1</t>
  </si>
  <si>
    <t>Rancagua</t>
  </si>
  <si>
    <t>Max 10%</t>
  </si>
  <si>
    <t>Certificado de Pago (si aplica)</t>
  </si>
  <si>
    <t>Suscripción de pago automático Upago</t>
  </si>
  <si>
    <t>Pintor Cicarelli II</t>
  </si>
  <si>
    <t>Independencia</t>
  </si>
  <si>
    <t>Promoción Firmada (si aplica)</t>
  </si>
  <si>
    <t>Plaza Cervantes I</t>
  </si>
  <si>
    <t>Quinta Normal</t>
  </si>
  <si>
    <t>3% 1D</t>
  </si>
  <si>
    <t>EETT firmada</t>
  </si>
  <si>
    <t>Plaza Cervantes II</t>
  </si>
  <si>
    <t>PEP firmado</t>
  </si>
  <si>
    <t>Plaza Quilicura</t>
  </si>
  <si>
    <t>La Cisterna</t>
  </si>
  <si>
    <t>Pie pagado</t>
  </si>
  <si>
    <t>Reserva Contabilizada</t>
  </si>
  <si>
    <t>INVERSIONES IGNACIO SERRANO SPA</t>
  </si>
  <si>
    <t>77956043-0</t>
  </si>
  <si>
    <t>Promesa firmada por representantes de Maestra</t>
  </si>
  <si>
    <t>Trinidad III</t>
  </si>
  <si>
    <t>Quilicura</t>
  </si>
  <si>
    <t>2% 2D (36m2)</t>
  </si>
  <si>
    <t>Vista Costanera</t>
  </si>
  <si>
    <t>MAESTRA QUILPUE DOS SPA</t>
  </si>
  <si>
    <t>76489618-1</t>
  </si>
  <si>
    <t>Renca</t>
  </si>
  <si>
    <t>Pago de Reserva Webpay:</t>
  </si>
  <si>
    <t>Vista Reloncaví</t>
  </si>
  <si>
    <t>2% 3D</t>
  </si>
  <si>
    <t>https://www.webpay.cl/company/32764</t>
  </si>
  <si>
    <t>MAESTRA CONDELL S.A.</t>
  </si>
  <si>
    <t>76113459-0</t>
  </si>
  <si>
    <t>MAESTRA VISTAMAR SPA</t>
  </si>
  <si>
    <t>77684739-9</t>
  </si>
  <si>
    <t>PARA TODAS LAS VENTAS APLICA CERTIFICADO DE PAGO DE 10% (Bono Pie)</t>
  </si>
  <si>
    <t>Portal de Pago UPago:</t>
  </si>
  <si>
    <t>Y excepcionalmente para pago de Pie:</t>
  </si>
  <si>
    <r>
      <t xml:space="preserve">Recordar que </t>
    </r>
    <r>
      <rPr>
        <b/>
        <sz val="11"/>
        <color theme="1"/>
        <rFont val="Aptos Narrow"/>
        <family val="2"/>
        <scheme val="minor"/>
      </rPr>
      <t>la cuota mínima</t>
    </r>
    <r>
      <rPr>
        <sz val="11"/>
        <color theme="1"/>
        <rFont val="Aptos Narrow"/>
        <family val="2"/>
        <scheme val="minor"/>
      </rPr>
      <t xml:space="preserve"> en todos los casos para Proyectos de </t>
    </r>
    <r>
      <rPr>
        <b/>
        <sz val="11"/>
        <color theme="1"/>
        <rFont val="Aptos Narrow"/>
        <family val="2"/>
        <scheme val="minor"/>
      </rPr>
      <t>Entrega Futura es de UF 7</t>
    </r>
  </si>
  <si>
    <t>https://pay.upago.cl/go/inmobiliaria-maestra</t>
  </si>
  <si>
    <t>https://www.webpay.cl/company/33138</t>
  </si>
  <si>
    <r>
      <rPr>
        <b/>
        <sz val="11"/>
        <color theme="1"/>
        <rFont val="Aptos Narrow"/>
        <family val="2"/>
        <scheme val="minor"/>
      </rPr>
      <t>Promoción Entrega Inmediata</t>
    </r>
    <r>
      <rPr>
        <sz val="11"/>
        <color theme="1"/>
        <rFont val="Aptos Narrow"/>
        <family val="2"/>
        <scheme val="minor"/>
      </rPr>
      <t xml:space="preserve">:  Devolución de $800.000 por concepto de Gastos Operacionales </t>
    </r>
    <r>
      <rPr>
        <b/>
        <sz val="11"/>
        <color theme="1"/>
        <rFont val="Aptos Narrow"/>
        <family val="2"/>
        <scheme val="minor"/>
      </rPr>
      <t>ó</t>
    </r>
    <r>
      <rPr>
        <sz val="11"/>
        <color theme="1"/>
        <rFont val="Aptos Narrow"/>
        <family val="2"/>
        <scheme val="minor"/>
      </rPr>
      <t xml:space="preserve"> pago de Gastos Comunes (Efectivo 30 días post CBR).</t>
    </r>
  </si>
  <si>
    <r>
      <rPr>
        <b/>
        <sz val="11"/>
        <color theme="1"/>
        <rFont val="Aptos Narrow"/>
        <family val="2"/>
        <scheme val="minor"/>
      </rPr>
      <t>Jardines de Alvarado</t>
    </r>
    <r>
      <rPr>
        <sz val="11"/>
        <color theme="1"/>
        <rFont val="Aptos Narrow"/>
        <family val="2"/>
        <scheme val="minor"/>
      </rPr>
      <t xml:space="preserve">: Bajan los estacionamientos!! </t>
    </r>
    <r>
      <rPr>
        <b/>
        <sz val="11"/>
        <color theme="1"/>
        <rFont val="Aptos Narrow"/>
        <family val="2"/>
        <scheme val="minor"/>
      </rPr>
      <t>2 x UF 400</t>
    </r>
    <r>
      <rPr>
        <sz val="11"/>
        <color theme="1"/>
        <rFont val="Aptos Narrow"/>
        <family val="2"/>
        <scheme val="minor"/>
      </rPr>
      <t xml:space="preserve"> | </t>
    </r>
    <r>
      <rPr>
        <b/>
        <sz val="11"/>
        <color theme="1"/>
        <rFont val="Aptos Narrow"/>
        <family val="2"/>
        <scheme val="minor"/>
      </rPr>
      <t>1 x UF 250</t>
    </r>
  </si>
  <si>
    <t>TRANSFERENCIA (sólo casos excepcionales)</t>
  </si>
  <si>
    <t>VALE VISTA (sólo casos excepcionales)</t>
  </si>
  <si>
    <r>
      <rPr>
        <b/>
        <sz val="11"/>
        <color theme="1"/>
        <rFont val="Aptos Narrow"/>
        <family val="2"/>
        <scheme val="minor"/>
      </rPr>
      <t>Plaza Quilicura</t>
    </r>
    <r>
      <rPr>
        <sz val="11"/>
        <color theme="1"/>
        <rFont val="Aptos Narrow"/>
        <family val="2"/>
        <scheme val="minor"/>
      </rPr>
      <t xml:space="preserve">: Se deben vender todos los departamentos con estacionamiento de manera obligatoria; </t>
    </r>
    <r>
      <rPr>
        <b/>
        <sz val="11"/>
        <color theme="1"/>
        <rFont val="Aptos Narrow"/>
        <family val="2"/>
        <scheme val="minor"/>
      </rPr>
      <t>Estacionamientos bajan a UF 250</t>
    </r>
    <r>
      <rPr>
        <sz val="11"/>
        <color theme="1"/>
        <rFont val="Aptos Narrow"/>
        <family val="2"/>
        <scheme val="minor"/>
      </rPr>
      <t xml:space="preserve"> (Precio anterior UF 290)</t>
    </r>
  </si>
  <si>
    <t>76.849.520-3</t>
  </si>
  <si>
    <r>
      <rPr>
        <b/>
        <sz val="11"/>
        <color theme="1"/>
        <rFont val="Aptos Narrow"/>
        <family val="2"/>
        <scheme val="minor"/>
      </rPr>
      <t>Nominativo</t>
    </r>
    <r>
      <rPr>
        <sz val="11"/>
        <color theme="1"/>
        <rFont val="Aptos Narrow"/>
        <family val="2"/>
        <scheme val="minor"/>
      </rPr>
      <t xml:space="preserve"> a nombre y RUT de la SpA del Proyecto</t>
    </r>
  </si>
  <si>
    <r>
      <rPr>
        <b/>
        <sz val="11"/>
        <color theme="1"/>
        <rFont val="Aptos Narrow"/>
        <family val="2"/>
        <scheme val="minor"/>
      </rPr>
      <t>Vista Costanera</t>
    </r>
    <r>
      <rPr>
        <sz val="11"/>
        <color theme="1"/>
        <rFont val="Aptos Narrow"/>
        <family val="2"/>
        <scheme val="minor"/>
      </rPr>
      <t xml:space="preserve">: Bajan los estacionamientos a </t>
    </r>
    <r>
      <rPr>
        <b/>
        <sz val="11"/>
        <color theme="1"/>
        <rFont val="Aptos Narrow"/>
        <family val="2"/>
        <scheme val="minor"/>
      </rPr>
      <t>2 x UF 500</t>
    </r>
  </si>
  <si>
    <t>MAESTRA S.A.</t>
  </si>
  <si>
    <t>Enviar correo de pago a GERALDINE.SALAS@MAESTRA.CL</t>
  </si>
  <si>
    <r>
      <rPr>
        <u/>
        <sz val="11"/>
        <color theme="1"/>
        <rFont val="Aptos Narrow"/>
        <family val="2"/>
        <scheme val="minor"/>
      </rPr>
      <t>Promoción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Arriendo Garantizado</t>
    </r>
    <r>
      <rPr>
        <sz val="11"/>
        <color theme="1"/>
        <rFont val="Aptos Narrow"/>
        <family val="2"/>
        <scheme val="minor"/>
      </rPr>
      <t xml:space="preserve"> (gestionado por Assetplan):</t>
    </r>
  </si>
  <si>
    <t>SCOTIABANK</t>
  </si>
  <si>
    <t>Enviar documento a:</t>
  </si>
  <si>
    <r>
      <rPr>
        <b/>
        <sz val="11"/>
        <color theme="1"/>
        <rFont val="Aptos Narrow"/>
        <family val="2"/>
        <scheme val="minor"/>
      </rPr>
      <t>Jardines de Alvarado</t>
    </r>
    <r>
      <rPr>
        <sz val="11"/>
        <color theme="1"/>
        <rFont val="Aptos Narrow"/>
        <family val="2"/>
        <scheme val="minor"/>
      </rPr>
      <t>: solo tipología 3D1B (con descuento máximo de venta de 10%)</t>
    </r>
  </si>
  <si>
    <t>CTA CTE 1167294</t>
  </si>
  <si>
    <t>Edificio Work Plaza La Dehesa</t>
  </si>
  <si>
    <r>
      <rPr>
        <b/>
        <sz val="11"/>
        <color theme="1"/>
        <rFont val="Aptos Narrow"/>
        <family val="2"/>
        <scheme val="minor"/>
      </rPr>
      <t>Mirador Mapocho</t>
    </r>
    <r>
      <rPr>
        <sz val="11"/>
        <color theme="1"/>
        <rFont val="Aptos Narrow"/>
        <family val="2"/>
        <scheme val="minor"/>
      </rPr>
      <t>: solo tipología 1D1B (con descuento máximo de venta de 10%)</t>
    </r>
  </si>
  <si>
    <t>CANAL.BROKER@maestra.cl</t>
  </si>
  <si>
    <t>Av. La Dehesa N° 222, Torre A, Piso 5, Lo Barnechea</t>
  </si>
  <si>
    <r>
      <rPr>
        <b/>
        <sz val="11"/>
        <color theme="1"/>
        <rFont val="Aptos Narrow"/>
        <family val="2"/>
        <scheme val="minor"/>
      </rPr>
      <t>Pintor Cicarelli I</t>
    </r>
    <r>
      <rPr>
        <sz val="11"/>
        <color theme="1"/>
        <rFont val="Aptos Narrow"/>
        <family val="2"/>
        <scheme val="minor"/>
      </rPr>
      <t>: solo tipología 3D1B (con descuento máximo de venta de 10%)</t>
    </r>
  </si>
  <si>
    <r>
      <rPr>
        <u/>
        <sz val="11"/>
        <color theme="1"/>
        <rFont val="Aptos Narrow"/>
        <family val="2"/>
        <scheme val="minor"/>
      </rPr>
      <t>Promoción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 xml:space="preserve">Arrendatario Incluido </t>
    </r>
    <r>
      <rPr>
        <sz val="11"/>
        <color theme="1"/>
        <rFont val="Aptos Narrow"/>
        <family val="2"/>
        <scheme val="minor"/>
      </rPr>
      <t>(gestionado por Assetplan): 50% de descuento en el costo de administración por 1 años (3,5%)</t>
    </r>
  </si>
  <si>
    <t>PD</t>
  </si>
  <si>
    <t>Proyecto Destacado del mes</t>
  </si>
  <si>
    <t>SÓLO MODIFICAR ESTAS CELDAS</t>
  </si>
  <si>
    <t>XXX</t>
  </si>
  <si>
    <t>Simulación con Certificado de Pago (Bono Pie), Crédito Hipotecario y cuotas para pago de Pie</t>
  </si>
  <si>
    <t>Precio de Lista</t>
  </si>
  <si>
    <r>
      <t>Departamento</t>
    </r>
    <r>
      <rPr>
        <b/>
        <sz val="11"/>
        <color theme="1"/>
        <rFont val="Aptos Narrow"/>
        <family val="2"/>
        <scheme val="minor"/>
      </rPr>
      <t xml:space="preserve"> 803 A </t>
    </r>
    <r>
      <rPr>
        <sz val="11"/>
        <color theme="1"/>
        <rFont val="Aptos Narrow"/>
        <family val="2"/>
        <scheme val="minor"/>
      </rPr>
      <t>(2Dg1B)</t>
    </r>
  </si>
  <si>
    <r>
      <t xml:space="preserve">Estacionamiento </t>
    </r>
    <r>
      <rPr>
        <b/>
        <sz val="11"/>
        <color theme="1"/>
        <rFont val="Aptos Narrow"/>
        <family val="2"/>
        <scheme val="minor"/>
      </rPr>
      <t>4 A</t>
    </r>
  </si>
  <si>
    <t>Bodega</t>
  </si>
  <si>
    <t>Descuento Venta:</t>
  </si>
  <si>
    <t>Precio de Venta</t>
  </si>
  <si>
    <t>Departamento</t>
  </si>
  <si>
    <t>Estacionamiento</t>
  </si>
  <si>
    <t>Total</t>
  </si>
  <si>
    <t>Imagen referencial</t>
  </si>
  <si>
    <t>Pie Total:</t>
  </si>
  <si>
    <t>UF:</t>
  </si>
  <si>
    <t>Reserva por $ 100.000:</t>
  </si>
  <si>
    <t>Pago inicial Upfront:</t>
  </si>
  <si>
    <t>Upfront en UF:</t>
  </si>
  <si>
    <t>* Saldo de Pie por pagar:</t>
  </si>
  <si>
    <t>Crédito Hipotecario + Cert. Pago:</t>
  </si>
  <si>
    <t>Crédito Hipotecario:</t>
  </si>
  <si>
    <t>Precio de Venta (Tasación):</t>
  </si>
  <si>
    <t>Pie pagado (Reserva+Upfront+Mutuo):</t>
  </si>
  <si>
    <r>
      <t xml:space="preserve">* </t>
    </r>
    <r>
      <rPr>
        <sz val="11"/>
        <rFont val="Aptos Narrow"/>
        <family val="2"/>
        <scheme val="minor"/>
      </rPr>
      <t>300 Dividendos a tasa 4,0%:</t>
    </r>
  </si>
  <si>
    <t>Beneficios Maestra - Promociones:</t>
  </si>
  <si>
    <t>Devolución por concepto de Gastos Op.:</t>
  </si>
  <si>
    <t>$ 800.000 a los 30 días del CBR</t>
  </si>
  <si>
    <t>Flujo Mes</t>
  </si>
  <si>
    <t>Arriendo Asegurados por 24 meses:</t>
  </si>
  <si>
    <t>$ 380.000 por mes a todo evento</t>
  </si>
  <si>
    <t>TIPOLOGÍA</t>
  </si>
  <si>
    <t>ESTACIONAMIENTO</t>
  </si>
  <si>
    <t>Torre/Orientación/Unidad</t>
  </si>
  <si>
    <t>A</t>
  </si>
  <si>
    <t>USO Y GOCE</t>
  </si>
  <si>
    <t>(en blanco)</t>
  </si>
  <si>
    <t>DOMINIO</t>
  </si>
  <si>
    <t>Total general</t>
  </si>
  <si>
    <t>Aporte inmobiliaria:</t>
  </si>
  <si>
    <t>Aporte inmobiliaria en UF:</t>
  </si>
  <si>
    <t>* Crédito Hipotecario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</si>
</sst>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5" formatCode="&quot;$&quot;#,##0;&quot;$&quot;\-#,##0"/>
    <numFmt numFmtId="42" formatCode="_ &quot;$&quot;* #,##0_ ;_ &quot;$&quot;* \-#,##0_ ;_ &quot;$&quot;* &quot;-&quot;_ ;_ @_ "/>
    <numFmt numFmtId="164" formatCode="\U\F\ #,##0"/>
    <numFmt numFmtId="165" formatCode="\U\F\ #,##0.00"/>
    <numFmt numFmtId="166" formatCode="&quot;$&quot;#,##0"/>
    <numFmt numFmtId="167" formatCode="0.0%"/>
    <numFmt numFmtId="168" formatCode="\U\F\ #,##0.0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rgb="FFFF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sz val="10"/>
      <color rgb="FF00206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0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0"/>
      <color rgb="FF002060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60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4" fillId="2" borderId="0" xfId="0" applyFont="1" applyFill="1" applyAlignment="1">
      <alignment horizontal="left"/>
    </xf>
    <xf numFmtId="0" fontId="8" fillId="3" borderId="1" xfId="3" applyFont="1" applyFill="1" applyBorder="1" applyAlignment="1">
      <alignment horizontal="center" vertical="center" wrapText="1"/>
    </xf>
    <xf numFmtId="0" fontId="8" fillId="3" borderId="2" xfId="3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10" fillId="2" borderId="5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0" xfId="0" applyFill="1" applyAlignment="1">
      <alignment horizontal="center"/>
    </xf>
    <xf numFmtId="0" fontId="4" fillId="6" borderId="7" xfId="0" applyFont="1" applyFill="1" applyBorder="1"/>
    <xf numFmtId="0" fontId="11" fillId="2" borderId="0" xfId="0" applyFont="1" applyFill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7" borderId="7" xfId="0" applyFont="1" applyFill="1" applyBorder="1" applyAlignment="1">
      <alignment horizontal="left" vertical="center"/>
    </xf>
    <xf numFmtId="9" fontId="14" fillId="8" borderId="7" xfId="0" applyNumberFormat="1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5" fontId="15" fillId="8" borderId="8" xfId="1" applyNumberFormat="1" applyFont="1" applyFill="1" applyBorder="1" applyAlignment="1">
      <alignment horizontal="center" vertical="center"/>
    </xf>
    <xf numFmtId="9" fontId="14" fillId="8" borderId="8" xfId="0" applyNumberFormat="1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0" fillId="2" borderId="9" xfId="0" applyFill="1" applyBorder="1"/>
    <xf numFmtId="0" fontId="16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9" xfId="0" applyFont="1" applyFill="1" applyBorder="1"/>
    <xf numFmtId="0" fontId="0" fillId="0" borderId="7" xfId="0" applyBorder="1"/>
    <xf numFmtId="0" fontId="10" fillId="2" borderId="0" xfId="0" applyFont="1" applyFill="1" applyAlignment="1">
      <alignment horizontal="center"/>
    </xf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9" fontId="15" fillId="8" borderId="7" xfId="0" applyNumberFormat="1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/>
    </xf>
    <xf numFmtId="9" fontId="17" fillId="8" borderId="7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5" fontId="15" fillId="8" borderId="7" xfId="1" applyNumberFormat="1" applyFont="1" applyFill="1" applyBorder="1" applyAlignment="1">
      <alignment horizontal="center" vertical="center"/>
    </xf>
    <xf numFmtId="0" fontId="3" fillId="2" borderId="0" xfId="0" applyFont="1" applyFill="1"/>
    <xf numFmtId="0" fontId="12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9" fontId="14" fillId="8" borderId="11" xfId="0" applyNumberFormat="1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42" fontId="15" fillId="8" borderId="11" xfId="1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19" fillId="2" borderId="10" xfId="0" applyFont="1" applyFill="1" applyBorder="1"/>
    <xf numFmtId="0" fontId="12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9" fontId="17" fillId="8" borderId="12" xfId="0" applyNumberFormat="1" applyFont="1" applyFill="1" applyBorder="1" applyAlignment="1">
      <alignment horizontal="center" vertical="center"/>
    </xf>
    <xf numFmtId="9" fontId="15" fillId="8" borderId="12" xfId="0" applyNumberFormat="1" applyFont="1" applyFill="1" applyBorder="1" applyAlignment="1">
      <alignment horizontal="center" vertical="center"/>
    </xf>
    <xf numFmtId="9" fontId="14" fillId="8" borderId="12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9" fontId="15" fillId="9" borderId="12" xfId="0" applyNumberFormat="1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9" fontId="14" fillId="10" borderId="7" xfId="0" applyNumberFormat="1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horizontal="center" vertical="center"/>
    </xf>
    <xf numFmtId="9" fontId="15" fillId="10" borderId="7" xfId="0" applyNumberFormat="1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9" fontId="14" fillId="10" borderId="8" xfId="0" applyNumberFormat="1" applyFont="1" applyFill="1" applyBorder="1" applyAlignment="1">
      <alignment horizontal="center" vertical="center"/>
    </xf>
    <xf numFmtId="9" fontId="17" fillId="10" borderId="7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5" fillId="10" borderId="8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5" xfId="0" applyFill="1" applyBorder="1" applyAlignment="1">
      <alignment horizontal="center"/>
    </xf>
    <xf numFmtId="9" fontId="15" fillId="10" borderId="8" xfId="0" applyNumberFormat="1" applyFont="1" applyFill="1" applyBorder="1" applyAlignment="1">
      <alignment horizontal="center" vertical="center"/>
    </xf>
    <xf numFmtId="0" fontId="4" fillId="2" borderId="0" xfId="0" applyFont="1" applyFill="1"/>
    <xf numFmtId="0" fontId="6" fillId="2" borderId="0" xfId="3" applyFill="1"/>
    <xf numFmtId="0" fontId="0" fillId="2" borderId="0" xfId="0" applyFill="1" applyAlignment="1">
      <alignment vertical="top" wrapText="1"/>
    </xf>
    <xf numFmtId="0" fontId="20" fillId="2" borderId="0" xfId="0" applyFont="1" applyFill="1"/>
    <xf numFmtId="0" fontId="0" fillId="2" borderId="0" xfId="0" applyFill="1" applyAlignment="1">
      <alignment vertical="top"/>
    </xf>
    <xf numFmtId="0" fontId="0" fillId="2" borderId="0" xfId="0" applyFill="1" applyAlignment="1">
      <alignment horizontal="left" vertical="top" wrapText="1" indent="2"/>
    </xf>
    <xf numFmtId="0" fontId="11" fillId="2" borderId="0" xfId="0" applyFont="1" applyFill="1" applyAlignment="1">
      <alignment vertical="top" wrapText="1"/>
    </xf>
    <xf numFmtId="0" fontId="12" fillId="0" borderId="0" xfId="0" applyFont="1" applyAlignment="1">
      <alignment horizontal="left"/>
    </xf>
    <xf numFmtId="0" fontId="22" fillId="2" borderId="0" xfId="0" applyFont="1" applyFill="1" applyAlignment="1">
      <alignment horizontal="center"/>
    </xf>
    <xf numFmtId="164" fontId="10" fillId="11" borderId="7" xfId="0" applyNumberFormat="1" applyFont="1" applyFill="1" applyBorder="1" applyAlignment="1">
      <alignment horizontal="center"/>
    </xf>
    <xf numFmtId="0" fontId="23" fillId="2" borderId="0" xfId="0" applyFont="1" applyFill="1"/>
    <xf numFmtId="164" fontId="24" fillId="11" borderId="7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64" fontId="0" fillId="11" borderId="7" xfId="0" applyNumberFormat="1" applyFill="1" applyBorder="1" applyAlignment="1">
      <alignment horizontal="left"/>
    </xf>
    <xf numFmtId="164" fontId="0" fillId="11" borderId="7" xfId="0" applyNumberFormat="1" applyFill="1" applyBorder="1" applyAlignment="1">
      <alignment horizontal="right" indent="3"/>
    </xf>
    <xf numFmtId="164" fontId="4" fillId="2" borderId="0" xfId="0" applyNumberFormat="1" applyFont="1" applyFill="1"/>
    <xf numFmtId="0" fontId="25" fillId="2" borderId="0" xfId="0" applyFont="1" applyFill="1" applyAlignment="1">
      <alignment horizontal="center"/>
    </xf>
    <xf numFmtId="0" fontId="0" fillId="2" borderId="0" xfId="0" applyFill="1" applyAlignment="1">
      <alignment horizontal="left" indent="1"/>
    </xf>
    <xf numFmtId="165" fontId="0" fillId="2" borderId="0" xfId="0" applyNumberFormat="1" applyFill="1"/>
    <xf numFmtId="10" fontId="10" fillId="2" borderId="10" xfId="2" applyNumberFormat="1" applyFont="1" applyFill="1" applyBorder="1" applyAlignment="1">
      <alignment horizontal="right" indent="3"/>
    </xf>
    <xf numFmtId="164" fontId="4" fillId="2" borderId="0" xfId="0" applyNumberFormat="1" applyFont="1" applyFill="1" applyAlignment="1">
      <alignment horizontal="right" indent="3"/>
    </xf>
    <xf numFmtId="0" fontId="4" fillId="2" borderId="1" xfId="0" applyFont="1" applyFill="1" applyBorder="1" applyAlignment="1">
      <alignment horizontal="right"/>
    </xf>
    <xf numFmtId="9" fontId="0" fillId="5" borderId="3" xfId="0" applyNumberFormat="1" applyFill="1" applyBorder="1" applyAlignment="1">
      <alignment horizontal="center"/>
    </xf>
    <xf numFmtId="164" fontId="0" fillId="2" borderId="0" xfId="0" applyNumberFormat="1" applyFill="1"/>
    <xf numFmtId="4" fontId="5" fillId="2" borderId="0" xfId="0" applyNumberFormat="1" applyFont="1" applyFill="1"/>
    <xf numFmtId="9" fontId="10" fillId="2" borderId="10" xfId="2" applyFont="1" applyFill="1" applyBorder="1" applyAlignment="1">
      <alignment horizontal="right" indent="3"/>
    </xf>
    <xf numFmtId="0" fontId="10" fillId="2" borderId="0" xfId="0" applyFont="1" applyFill="1" applyAlignment="1">
      <alignment horizontal="left" vertical="top" indent="1"/>
    </xf>
    <xf numFmtId="164" fontId="8" fillId="2" borderId="0" xfId="3" applyNumberFormat="1" applyFont="1" applyFill="1" applyAlignment="1">
      <alignment horizontal="right"/>
    </xf>
    <xf numFmtId="166" fontId="26" fillId="2" borderId="10" xfId="2" applyNumberFormat="1" applyFont="1" applyFill="1" applyBorder="1" applyAlignment="1">
      <alignment horizontal="left"/>
    </xf>
    <xf numFmtId="167" fontId="10" fillId="2" borderId="0" xfId="2" applyNumberFormat="1" applyFont="1" applyFill="1" applyBorder="1" applyAlignment="1">
      <alignment horizontal="right"/>
    </xf>
    <xf numFmtId="0" fontId="27" fillId="2" borderId="0" xfId="0" applyFont="1" applyFill="1"/>
    <xf numFmtId="0" fontId="27" fillId="2" borderId="10" xfId="0" applyFont="1" applyFill="1" applyBorder="1"/>
    <xf numFmtId="168" fontId="0" fillId="2" borderId="0" xfId="0" applyNumberFormat="1" applyFill="1"/>
    <xf numFmtId="0" fontId="27" fillId="2" borderId="0" xfId="0" applyFont="1" applyFill="1" applyAlignment="1">
      <alignment horizontal="right"/>
    </xf>
    <xf numFmtId="168" fontId="27" fillId="2" borderId="0" xfId="0" applyNumberFormat="1" applyFont="1" applyFill="1" applyAlignment="1">
      <alignment horizontal="left"/>
    </xf>
    <xf numFmtId="166" fontId="28" fillId="2" borderId="10" xfId="2" applyNumberFormat="1" applyFont="1" applyFill="1" applyBorder="1" applyAlignment="1">
      <alignment horizontal="left"/>
    </xf>
    <xf numFmtId="1" fontId="27" fillId="2" borderId="0" xfId="0" applyNumberFormat="1" applyFont="1" applyFill="1" applyAlignment="1">
      <alignment horizontal="left"/>
    </xf>
    <xf numFmtId="0" fontId="29" fillId="2" borderId="10" xfId="0" applyFont="1" applyFill="1" applyBorder="1" applyAlignment="1">
      <alignment horizontal="left"/>
    </xf>
    <xf numFmtId="10" fontId="10" fillId="2" borderId="0" xfId="2" applyNumberFormat="1" applyFont="1" applyFill="1" applyBorder="1" applyAlignment="1">
      <alignment horizontal="right"/>
    </xf>
    <xf numFmtId="0" fontId="30" fillId="2" borderId="0" xfId="0" applyFont="1" applyFill="1" applyAlignment="1">
      <alignment horizontal="right"/>
    </xf>
    <xf numFmtId="0" fontId="30" fillId="2" borderId="0" xfId="0" applyFont="1" applyFill="1" applyAlignment="1">
      <alignment horizontal="left"/>
    </xf>
    <xf numFmtId="0" fontId="27" fillId="2" borderId="10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9" fontId="0" fillId="2" borderId="0" xfId="0" applyNumberFormat="1" applyFill="1" applyAlignment="1">
      <alignment horizontal="left"/>
    </xf>
    <xf numFmtId="9" fontId="0" fillId="2" borderId="3" xfId="0" applyNumberFormat="1" applyFill="1" applyBorder="1" applyAlignment="1">
      <alignment horizontal="center"/>
    </xf>
    <xf numFmtId="0" fontId="3" fillId="2" borderId="0" xfId="0" applyFont="1" applyFill="1" applyAlignment="1">
      <alignment horizontal="right"/>
    </xf>
    <xf numFmtId="168" fontId="0" fillId="2" borderId="0" xfId="0" applyNumberFormat="1" applyFill="1" applyAlignment="1">
      <alignment horizontal="left"/>
    </xf>
    <xf numFmtId="166" fontId="31" fillId="2" borderId="10" xfId="2" applyNumberFormat="1" applyFont="1" applyFill="1" applyBorder="1" applyAlignment="1">
      <alignment horizontal="left"/>
    </xf>
    <xf numFmtId="0" fontId="0" fillId="2" borderId="14" xfId="0" applyFill="1" applyBorder="1" applyAlignment="1">
      <alignment horizontal="right"/>
    </xf>
    <xf numFmtId="164" fontId="4" fillId="2" borderId="14" xfId="0" applyNumberFormat="1" applyFont="1" applyFill="1" applyBorder="1"/>
    <xf numFmtId="167" fontId="10" fillId="2" borderId="14" xfId="2" applyNumberFormat="1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168" fontId="0" fillId="2" borderId="14" xfId="0" applyNumberFormat="1" applyFill="1" applyBorder="1" applyAlignment="1">
      <alignment horizontal="left"/>
    </xf>
    <xf numFmtId="0" fontId="32" fillId="2" borderId="0" xfId="0" applyFont="1" applyFill="1" applyAlignment="1">
      <alignment horizontal="right"/>
    </xf>
    <xf numFmtId="168" fontId="33" fillId="2" borderId="0" xfId="0" applyNumberFormat="1" applyFont="1" applyFill="1"/>
    <xf numFmtId="167" fontId="34" fillId="2" borderId="0" xfId="2" applyNumberFormat="1" applyFont="1" applyFill="1" applyBorder="1" applyAlignment="1">
      <alignment horizontal="right"/>
    </xf>
    <xf numFmtId="0" fontId="32" fillId="2" borderId="0" xfId="0" applyFont="1" applyFill="1" applyAlignment="1">
      <alignment horizontal="left"/>
    </xf>
    <xf numFmtId="168" fontId="10" fillId="2" borderId="10" xfId="0" applyNumberFormat="1" applyFont="1" applyFill="1" applyBorder="1" applyAlignment="1">
      <alignment horizontal="center"/>
    </xf>
    <xf numFmtId="166" fontId="10" fillId="2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12" borderId="1" xfId="0" applyFont="1" applyFill="1" applyBorder="1" applyAlignment="1">
      <alignment horizontal="right"/>
    </xf>
    <xf numFmtId="9" fontId="5" fillId="12" borderId="3" xfId="0" applyNumberFormat="1" applyFont="1" applyFill="1" applyBorder="1" applyAlignment="1">
      <alignment horizontal="center"/>
    </xf>
    <xf numFmtId="0" fontId="5" fillId="12" borderId="0" xfId="0" applyFont="1" applyFill="1" applyAlignment="1">
      <alignment horizontal="right"/>
    </xf>
    <xf numFmtId="165" fontId="2" fillId="12" borderId="0" xfId="0" applyNumberFormat="1" applyFont="1" applyFill="1"/>
    <xf numFmtId="167" fontId="35" fillId="12" borderId="0" xfId="2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0" fillId="5" borderId="0" xfId="0" applyFill="1"/>
    <xf numFmtId="165" fontId="0" fillId="5" borderId="0" xfId="0" applyNumberFormat="1" applyFill="1"/>
    <xf numFmtId="0" fontId="4" fillId="5" borderId="0" xfId="0" applyFont="1" applyFill="1"/>
    <xf numFmtId="165" fontId="4" fillId="5" borderId="0" xfId="0" applyNumberFormat="1" applyFont="1" applyFill="1"/>
    <xf numFmtId="0" fontId="4" fillId="9" borderId="1" xfId="0" applyFont="1" applyFill="1" applyBorder="1" applyAlignment="1">
      <alignment horizontal="right"/>
    </xf>
    <xf numFmtId="9" fontId="0" fillId="9" borderId="3" xfId="0" applyNumberFormat="1" applyFill="1" applyBorder="1" applyAlignment="1">
      <alignment horizontal="center"/>
    </xf>
    <xf numFmtId="0" fontId="0" fillId="9" borderId="0" xfId="0" applyFill="1" applyAlignment="1">
      <alignment horizontal="left"/>
    </xf>
    <xf numFmtId="165" fontId="0" fillId="9" borderId="0" xfId="0" applyNumberFormat="1" applyFill="1"/>
    <xf numFmtId="0" fontId="0" fillId="9" borderId="1" xfId="0" applyFill="1" applyBorder="1" applyAlignment="1">
      <alignment horizontal="left"/>
    </xf>
    <xf numFmtId="168" fontId="0" fillId="9" borderId="0" xfId="0" applyNumberFormat="1" applyFill="1"/>
    <xf numFmtId="0" fontId="27" fillId="9" borderId="0" xfId="0" applyFont="1" applyFill="1" applyAlignment="1">
      <alignment horizontal="left"/>
    </xf>
    <xf numFmtId="0" fontId="5" fillId="13" borderId="0" xfId="0" applyFont="1" applyFill="1" applyAlignment="1">
      <alignment horizontal="right"/>
    </xf>
    <xf numFmtId="165" fontId="2" fillId="13" borderId="0" xfId="0" applyNumberFormat="1" applyFont="1" applyFill="1"/>
    <xf numFmtId="167" fontId="35" fillId="13" borderId="0" xfId="2" applyNumberFormat="1" applyFont="1" applyFill="1" applyBorder="1" applyAlignment="1">
      <alignment horizontal="right"/>
    </xf>
    <xf numFmtId="0" fontId="16" fillId="2" borderId="0" xfId="0" applyFont="1" applyFill="1" applyAlignment="1">
      <alignment horizontal="center"/>
    </xf>
    <xf numFmtId="0" fontId="0" fillId="2" borderId="0" xfId="0" applyFill="1" applyAlignment="1">
      <alignment horizontal="left" vertical="top" wrapText="1" indent="2"/>
    </xf>
    <xf numFmtId="0" fontId="0" fillId="2" borderId="0" xfId="0" applyFill="1" applyAlignment="1">
      <alignment vertical="top" wrapText="1"/>
    </xf>
    <xf numFmtId="0" fontId="6" fillId="2" borderId="0" xfId="3" applyFill="1" applyAlignment="1">
      <alignment horizontal="center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16" fillId="2" borderId="10" xfId="0" applyFont="1" applyFill="1" applyBorder="1" applyAlignment="1">
      <alignment horizontal="center"/>
    </xf>
    <xf numFmtId="0" fontId="4" fillId="2" borderId="0" xfId="0" applyFont="1" applyFill="1" applyAlignment="1">
      <alignment vertical="top" wrapText="1"/>
    </xf>
  </cellXfs>
  <cellStyles count="4">
    <cellStyle name="Currency [0]" xfId="1" builtinId="7"/>
    <cellStyle name="Hyperlink" xfId="3" builtinId="8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</dxfs>
  <tableStyles count="1" defaultTableStyle="TableStyleMedium2" defaultPivotStyle="PivotStyleLight16">
    <tableStyle name="Invisible" pivot="0" table="0" count="0" xr9:uid="{61D3C3F1-2C73-4F59-B327-4F8B10441E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1762125</xdr:colOff>
      <xdr:row>5</xdr:row>
      <xdr:rowOff>55479</xdr:rowOff>
    </xdr:from>
    <xdr:to>
      <xdr:col>7</xdr:col>
      <xdr:colOff>771525</xdr:colOff>
      <xdr:row>7</xdr:row>
      <xdr:rowOff>57252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F0B187-6046-46BD-92C7-AD5172609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9405" y="1007979"/>
          <a:ext cx="1432560" cy="38277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7</xdr:col>
      <xdr:colOff>770691</xdr:colOff>
      <xdr:row>21</xdr:row>
      <xdr:rowOff>22822</xdr:rowOff>
    </xdr:to>
    <xdr:pic>
      <xdr:nvPicPr>
        <xdr:cNvPr id="12" name="Imagen 2">
          <a:extLst>
            <a:ext uri="{FF2B5EF4-FFF2-40B4-BE49-F238E27FC236}">
              <a16:creationId xmlns:a16="http://schemas.microsoft.com/office/drawing/2014/main" id="{1CE46B5A-6CF3-4021-AFF2-CBFF7E6B3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7280" y="1905000"/>
          <a:ext cx="3193851" cy="211832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dono/AppData/Local/Microsoft/Windows/INetCache/Content.Outlook/LZP5E2N9/Stock_Maestra_01-04-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TRAMONTIN HARGUINDEGUY" refreshedDate="46113.38062314815" createdVersion="8" refreshedVersion="8" minRefreshableVersion="3" recordCount="3422" xr:uid="{9D0F55AA-6C86-488C-975B-9811AB541A72}">
  <cacheSource type="worksheet">
    <worksheetSource ref="A1:P1048576" sheet="Stock_01-04-2026" r:id="rId2"/>
  </cacheSource>
  <cacheFields count="16">
    <cacheField name="Nombre" numFmtId="0">
      <sharedItems containsBlank="1" count="20">
        <s v="Alto Buzeta (MT)"/>
        <s v="Cáceres"/>
        <s v="General Mackenna"/>
        <s v="Jardines de Alvarado"/>
        <s v="Mirador Mapocho"/>
        <s v="Pintor Cicarelli I (PC I)"/>
        <s v="Pintor Cicarelli II"/>
        <s v="Plaza Cervantes I"/>
        <s v="Plaza Cervantes II"/>
        <s v="Plaza Quilicura"/>
        <s v="SERRANO TORRE A"/>
        <s v="Trinidad III"/>
        <s v="Vista Costanera"/>
        <s v="Vista Llacolén A"/>
        <s v="Vista Llacolén B2"/>
        <s v="Vista Reloncaví"/>
        <s v="Vistamar"/>
        <s v="Distrito Centro"/>
        <m/>
        <s v="Apostol Santiago" u="1"/>
      </sharedItems>
    </cacheField>
    <cacheField name="TIPO" numFmtId="0">
      <sharedItems containsBlank="1" count="6">
        <s v="DEPARTAMENTO"/>
        <s v="BODEGA"/>
        <s v="ESTACIONAMIENTO"/>
        <s v="ESTACIONAMIENTO LOCAL"/>
        <s v="LOCAL COMERCIAL"/>
        <m/>
      </sharedItems>
    </cacheField>
    <cacheField name="Modelo" numFmtId="0">
      <sharedItems containsBlank="1" count="15">
        <s v="1D1B"/>
        <s v="1D1BS"/>
        <s v="1D1BSg"/>
        <s v="2D1B"/>
        <s v="2Dg1B"/>
        <s v="3D1B"/>
        <s v="BODEGA"/>
        <s v="ESTACIONAMIENTO"/>
        <s v="ESTACIONAMIENTO LC"/>
        <s v="LOCAL COMERCIAL"/>
        <s v="2D2BM"/>
        <m/>
        <s v="2D2B" u="1"/>
        <s v="3D2B" u="1"/>
        <s v="REJA LOCAL" u="1"/>
      </sharedItems>
    </cacheField>
    <cacheField name="Numero" numFmtId="0">
      <sharedItems containsString="0" containsBlank="1" containsNumber="1" containsInteger="1" minValue="1" maxValue="2008" count="698">
        <n v="320"/>
        <n v="1706"/>
        <n v="1906"/>
        <n v="217"/>
        <n v="317"/>
        <n v="417"/>
        <n v="807"/>
        <n v="103"/>
        <n v="405"/>
        <n v="414"/>
        <n v="509"/>
        <n v="513"/>
        <n v="609"/>
        <n v="613"/>
        <n v="705"/>
        <n v="709"/>
        <n v="713"/>
        <n v="805"/>
        <n v="808"/>
        <n v="809"/>
        <n v="813"/>
        <n v="905"/>
        <n v="908"/>
        <n v="909"/>
        <n v="913"/>
        <n v="918"/>
        <n v="1005"/>
        <n v="1008"/>
        <n v="1009"/>
        <n v="1013"/>
        <n v="1018"/>
        <n v="1108"/>
        <n v="1109"/>
        <n v="1113"/>
        <n v="1118"/>
        <n v="1205"/>
        <n v="1208"/>
        <n v="1209"/>
        <n v="1213"/>
        <n v="1218"/>
        <n v="1305"/>
        <n v="1308"/>
        <n v="1309"/>
        <n v="1313"/>
        <n v="1318"/>
        <n v="1405"/>
        <n v="1408"/>
        <n v="1409"/>
        <n v="1413"/>
        <n v="1418"/>
        <n v="1505"/>
        <n v="1508"/>
        <n v="1509"/>
        <n v="1513"/>
        <n v="1518"/>
        <n v="1605"/>
        <n v="1608"/>
        <n v="1609"/>
        <n v="1613"/>
        <n v="1618"/>
        <n v="1705"/>
        <n v="1708"/>
        <n v="1709"/>
        <n v="1713"/>
        <n v="1805"/>
        <n v="1808"/>
        <n v="1809"/>
        <n v="1813"/>
        <n v="1905"/>
        <n v="1908"/>
        <n v="1909"/>
        <n v="2005"/>
        <n v="2008"/>
        <n v="302"/>
        <n v="602"/>
        <n v="701"/>
        <n v="702"/>
        <n v="801"/>
        <n v="802"/>
        <n v="901"/>
        <n v="902"/>
        <n v="1001"/>
        <n v="1002"/>
        <n v="1101"/>
        <n v="1102"/>
        <n v="1201"/>
        <n v="1202"/>
        <n v="1301"/>
        <n v="1302"/>
        <n v="1401"/>
        <n v="1402"/>
        <n v="1501"/>
        <n v="1502"/>
        <n v="1601"/>
        <n v="1602"/>
        <n v="1701"/>
        <n v="1702"/>
        <n v="1801"/>
        <n v="1802"/>
        <n v="1901"/>
        <n v="1902"/>
        <n v="2001"/>
        <n v="2002"/>
        <n v="1"/>
        <n v="2"/>
        <n v="3"/>
        <n v="4"/>
        <n v="5"/>
        <n v="7"/>
        <n v="8"/>
        <n v="11"/>
        <n v="12"/>
        <n v="13"/>
        <n v="14"/>
        <n v="15"/>
        <n v="16"/>
        <n v="17"/>
        <n v="18"/>
        <n v="20"/>
        <n v="21"/>
        <n v="22"/>
        <n v="24"/>
        <n v="25"/>
        <n v="26"/>
        <n v="28"/>
        <n v="29"/>
        <n v="30"/>
        <n v="31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60"/>
        <n v="63"/>
        <n v="64"/>
        <n v="66"/>
        <n v="68"/>
        <n v="69"/>
        <n v="70"/>
        <n v="71"/>
        <n v="72"/>
        <n v="74"/>
        <n v="75"/>
        <n v="76"/>
        <n v="77"/>
        <n v="78"/>
        <n v="79"/>
        <n v="80"/>
        <n v="81"/>
        <n v="82"/>
        <n v="9"/>
        <n v="19"/>
        <n v="27"/>
        <n v="52"/>
        <n v="54"/>
        <n v="55"/>
        <n v="57"/>
        <n v="59"/>
        <n v="61"/>
        <n v="62"/>
        <n v="65"/>
        <n v="67"/>
        <n v="73"/>
        <n v="83"/>
        <n v="85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313"/>
        <n v="1214"/>
        <n v="1215"/>
        <n v="1315"/>
        <n v="1412"/>
        <n v="1414"/>
        <n v="1415"/>
        <n v="205"/>
        <n v="307"/>
        <n v="404"/>
        <n v="711"/>
        <n v="903"/>
        <n v="904"/>
        <n v="1407"/>
        <n v="221"/>
        <n v="223"/>
        <n v="224"/>
        <n v="225"/>
        <n v="228"/>
        <n v="321"/>
        <n v="324"/>
        <n v="325"/>
        <n v="420"/>
        <n v="519"/>
        <n v="523"/>
        <n v="525"/>
        <n v="527"/>
        <n v="528"/>
        <n v="625"/>
        <n v="627"/>
        <n v="628"/>
        <n v="716"/>
        <n v="723"/>
        <n v="724"/>
        <n v="725"/>
        <n v="728"/>
        <n v="816"/>
        <n v="817"/>
        <n v="818"/>
        <n v="821"/>
        <n v="824"/>
        <n v="826"/>
        <n v="827"/>
        <n v="828"/>
        <n v="6"/>
        <n v="10"/>
        <n v="23"/>
        <n v="32"/>
        <n v="201"/>
        <n v="301"/>
        <n v="306"/>
        <n v="401"/>
        <n v="406"/>
        <n v="501"/>
        <n v="506"/>
        <n v="601"/>
        <n v="606"/>
        <n v="706"/>
        <n v="806"/>
        <n v="906"/>
        <n v="1006"/>
        <n v="203"/>
        <n v="208"/>
        <n v="210"/>
        <n v="212"/>
        <n v="213"/>
        <n v="215"/>
        <n v="218"/>
        <n v="220"/>
        <n v="304"/>
        <n v="308"/>
        <n v="310"/>
        <n v="312"/>
        <n v="315"/>
        <n v="318"/>
        <n v="403"/>
        <n v="408"/>
        <n v="410"/>
        <n v="412"/>
        <n v="413"/>
        <n v="415"/>
        <n v="418"/>
        <n v="503"/>
        <n v="504"/>
        <n v="508"/>
        <n v="510"/>
        <n v="512"/>
        <n v="515"/>
        <n v="518"/>
        <n v="520"/>
        <n v="603"/>
        <n v="604"/>
        <n v="608"/>
        <n v="610"/>
        <n v="612"/>
        <n v="615"/>
        <n v="618"/>
        <n v="620"/>
        <n v="703"/>
        <n v="704"/>
        <n v="708"/>
        <n v="710"/>
        <n v="712"/>
        <n v="715"/>
        <n v="718"/>
        <n v="720"/>
        <n v="803"/>
        <n v="804"/>
        <n v="810"/>
        <n v="812"/>
        <n v="815"/>
        <n v="820"/>
        <n v="910"/>
        <n v="912"/>
        <n v="915"/>
        <n v="920"/>
        <n v="1003"/>
        <n v="1004"/>
        <n v="1010"/>
        <n v="1012"/>
        <n v="1015"/>
        <n v="1020"/>
        <n v="209"/>
        <n v="216"/>
        <n v="219"/>
        <n v="309"/>
        <n v="316"/>
        <n v="319"/>
        <n v="409"/>
        <n v="416"/>
        <n v="419"/>
        <n v="516"/>
        <n v="616"/>
        <n v="619"/>
        <n v="719"/>
        <n v="819"/>
        <n v="916"/>
        <n v="919"/>
        <n v="1016"/>
        <n v="1019"/>
        <n v="202"/>
        <n v="211"/>
        <n v="214"/>
        <n v="305"/>
        <n v="314"/>
        <n v="402"/>
        <n v="411"/>
        <n v="502"/>
        <n v="505"/>
        <n v="514"/>
        <n v="605"/>
        <n v="611"/>
        <n v="714"/>
        <n v="811"/>
        <n v="814"/>
        <n v="911"/>
        <n v="914"/>
        <n v="1011"/>
        <n v="1014"/>
        <n v="207"/>
        <n v="517"/>
        <n v="617"/>
        <n v="707"/>
        <n v="717"/>
        <n v="907"/>
        <n v="917"/>
        <n v="1007"/>
        <n v="1017"/>
        <n v="53"/>
        <n v="56"/>
        <n v="58"/>
        <n v="1105"/>
        <n v="303"/>
        <n v="311"/>
        <n v="1104"/>
        <n v="1112"/>
        <n v="1114"/>
        <n v="204"/>
        <n v="522"/>
        <n v="614"/>
        <n v="721"/>
        <n v="722"/>
        <n v="921"/>
        <n v="922"/>
        <n v="1021"/>
        <n v="1022"/>
        <n v="1119"/>
        <n v="1120"/>
        <n v="87"/>
        <n v="142"/>
        <n v="143"/>
        <n v="144"/>
        <n v="147"/>
        <n v="154"/>
        <n v="155"/>
        <n v="158"/>
        <n v="164"/>
        <n v="165"/>
        <n v="169"/>
        <n v="170"/>
        <n v="171"/>
        <n v="173"/>
        <n v="174"/>
        <n v="176"/>
        <n v="177"/>
        <n v="178"/>
        <n v="179"/>
        <n v="186"/>
        <n v="193"/>
        <n v="199"/>
        <n v="206"/>
        <n v="226"/>
        <n v="244"/>
        <n v="245"/>
        <n v="246"/>
        <n v="247"/>
        <n v="248"/>
        <n v="249"/>
        <n v="250"/>
        <n v="251"/>
        <n v="252"/>
        <n v="253"/>
        <n v="254"/>
        <n v="257"/>
        <n v="258"/>
        <n v="260"/>
        <n v="261"/>
        <n v="263"/>
        <n v="264"/>
        <n v="270"/>
        <n v="276"/>
        <n v="277"/>
        <n v="282"/>
        <n v="283"/>
        <n v="284"/>
        <n v="286"/>
        <n v="287"/>
        <n v="288"/>
        <n v="289"/>
        <n v="290"/>
        <n v="291"/>
        <n v="292"/>
        <n v="294"/>
        <n v="297"/>
        <n v="300"/>
        <n v="322"/>
        <n v="323"/>
        <n v="326"/>
        <n v="327"/>
        <n v="329"/>
        <n v="330"/>
        <n v="348"/>
        <n v="350"/>
        <n v="352"/>
        <n v="353"/>
        <n v="354"/>
        <n v="355"/>
        <n v="356"/>
        <n v="360"/>
        <n v="363"/>
        <n v="364"/>
        <n v="365"/>
        <n v="366"/>
        <n v="367"/>
        <n v="368"/>
        <n v="370"/>
        <n v="372"/>
        <n v="374"/>
        <n v="377"/>
        <n v="378"/>
        <n v="379"/>
        <n v="384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7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507"/>
        <n v="511"/>
        <n v="607"/>
        <n v="84"/>
        <n v="86"/>
        <n v="1106"/>
        <n v="1206"/>
        <n v="1210"/>
        <n v="1306"/>
        <n v="1310"/>
        <n v="1204"/>
        <n v="1212"/>
        <n v="1304"/>
        <n v="1312"/>
        <n v="1314"/>
        <n v="1103"/>
        <n v="1116"/>
        <n v="1203"/>
        <n v="1216"/>
        <n v="1303"/>
        <n v="1316"/>
        <n v="1403"/>
        <n v="1416"/>
        <n v="222"/>
        <n v="521"/>
        <n v="622"/>
        <n v="822"/>
        <n v="1107"/>
        <n v="1111"/>
        <n v="1117"/>
        <n v="1121"/>
        <n v="1122"/>
        <n v="1207"/>
        <n v="1211"/>
        <n v="1217"/>
        <n v="1219"/>
        <n v="1220"/>
        <n v="1221"/>
        <n v="1222"/>
        <n v="1307"/>
        <n v="1311"/>
        <n v="1317"/>
        <n v="1319"/>
        <n v="1320"/>
        <n v="1321"/>
        <n v="1322"/>
        <n v="1417"/>
        <n v="1419"/>
        <n v="1420"/>
        <n v="1421"/>
        <n v="1422"/>
        <n v="138"/>
        <n v="139"/>
        <n v="140"/>
        <n v="141"/>
        <n v="145"/>
        <n v="146"/>
        <n v="148"/>
        <n v="149"/>
        <n v="524"/>
        <n v="1124"/>
        <n v="1224"/>
        <n v="1123"/>
        <n v="157"/>
        <n v="162"/>
        <n v="189"/>
        <n v="238"/>
        <n v="529"/>
        <n v="530"/>
        <n v="626"/>
        <n v="629"/>
        <n v="630"/>
        <n v="726"/>
        <n v="729"/>
        <n v="730"/>
        <n v="825"/>
        <n v="829"/>
        <n v="830"/>
        <n v="925"/>
        <n v="926"/>
        <n v="929"/>
        <n v="930"/>
        <n v="1025"/>
        <n v="1026"/>
        <n v="1029"/>
        <n v="1030"/>
        <n v="1115"/>
        <n v="1125"/>
        <n v="1126"/>
        <n v="1129"/>
        <n v="1130"/>
        <n v="727"/>
        <n v="924"/>
        <n v="927"/>
        <n v="1027"/>
        <n v="328"/>
        <n v="623"/>
        <n v="823"/>
        <n v="923"/>
        <n v="1023"/>
        <n v="1028"/>
        <n v="1128"/>
        <n v="621"/>
        <n v="150"/>
        <n v="151"/>
        <n v="152"/>
        <n v="153"/>
        <n v="156"/>
        <n v="163"/>
        <n v="166"/>
        <n v="167"/>
        <n v="172"/>
        <n v="175"/>
        <n v="180"/>
        <n v="181"/>
        <n v="182"/>
        <n v="183"/>
        <n v="184"/>
        <n v="185"/>
        <n v="187"/>
        <n v="188"/>
        <n v="190"/>
        <n v="191"/>
        <n v="192"/>
        <n v="159"/>
        <n v="160"/>
        <n v="161"/>
        <n v="1514"/>
        <n v="1614"/>
        <n v="1714"/>
        <n v="1814"/>
        <n v="1507"/>
        <n v="1607"/>
        <n v="1707"/>
        <n v="1404"/>
        <n v="1503"/>
        <n v="1504"/>
        <n v="1603"/>
        <n v="1604"/>
        <n v="1703"/>
        <n v="1704"/>
        <n v="1803"/>
        <n v="1804"/>
        <n v="1110"/>
        <n v="1406"/>
        <n v="1410"/>
        <n v="1411"/>
        <n v="1506"/>
        <n v="1510"/>
        <n v="1511"/>
        <n v="1512"/>
        <n v="1606"/>
        <n v="1610"/>
        <n v="1611"/>
        <n v="1612"/>
        <n v="1710"/>
        <n v="1711"/>
        <n v="1712"/>
        <n v="1806"/>
        <n v="1810"/>
        <n v="1811"/>
        <n v="1812"/>
        <m/>
        <n v="2006" u="1"/>
        <n v="526" u="1"/>
        <n v="198" u="1"/>
        <n v="342" u="1"/>
      </sharedItems>
    </cacheField>
    <cacheField name="Piso" numFmtId="0">
      <sharedItems containsString="0" containsBlank="1" containsNumber="1" containsInteger="1" minValue="-4" maxValue="20" count="25">
        <n v="3"/>
        <n v="17"/>
        <n v="19"/>
        <n v="2"/>
        <n v="4"/>
        <n v="8"/>
        <n v="1"/>
        <n v="5"/>
        <n v="6"/>
        <n v="7"/>
        <n v="9"/>
        <n v="10"/>
        <n v="11"/>
        <n v="12"/>
        <n v="13"/>
        <n v="14"/>
        <n v="15"/>
        <n v="16"/>
        <n v="18"/>
        <n v="20"/>
        <n v="-1"/>
        <n v="-2"/>
        <n v="-3"/>
        <n v="-4"/>
        <m/>
      </sharedItems>
    </cacheField>
    <cacheField name="Edificio" numFmtId="0">
      <sharedItems containsBlank="1" containsMixedTypes="1" containsNumber="1" containsInteger="1" minValue="-1" maxValue="-1" count="16">
        <s v="A"/>
        <m/>
        <s v="B"/>
        <s v="Subte"/>
        <s v="local"/>
        <s v="Exterior"/>
        <s v="Subterraneo"/>
        <s v="C"/>
        <s v="E"/>
        <s v="G"/>
        <s v="F"/>
        <s v="D"/>
        <s v="H"/>
        <n v="-1"/>
        <s v=".............."/>
        <s v="."/>
      </sharedItems>
    </cacheField>
    <cacheField name="m2Construido" numFmtId="0">
      <sharedItems containsString="0" containsBlank="1" containsNumber="1" minValue="1.1499999999999999" maxValue="87.77"/>
    </cacheField>
    <cacheField name="m2Balcon" numFmtId="0">
      <sharedItems containsString="0" containsBlank="1" containsNumber="1" minValue="0" maxValue="3.81"/>
    </cacheField>
    <cacheField name="Orientacion" numFmtId="0">
      <sharedItems containsBlank="1" count="11">
        <s v="Surponiente"/>
        <s v="Norponiente"/>
        <s v="Suroriente"/>
        <s v="Nororiente"/>
        <s v="DOMINIO"/>
        <s v="Norte"/>
        <s v="Sur"/>
        <s v="Poniente"/>
        <s v="Oriente"/>
        <s v="USO Y GOCE"/>
        <m/>
      </sharedItems>
    </cacheField>
    <cacheField name="Derecho" numFmtId="0">
      <sharedItems containsBlank="1"/>
    </cacheField>
    <cacheField name="EstadoInmueble" numFmtId="0">
      <sharedItems containsBlank="1" count="5">
        <s v="Disponible"/>
        <s v="En Recolocación"/>
        <s v="Arrendado"/>
        <m/>
        <s v="Bloqueado" u="1"/>
      </sharedItems>
    </cacheField>
    <cacheField name="Inmueble_Pack" numFmtId="0">
      <sharedItems containsBlank="1"/>
    </cacheField>
    <cacheField name="Obs" numFmtId="0">
      <sharedItems containsBlank="1"/>
    </cacheField>
    <cacheField name="Precio Lista" numFmtId="0">
      <sharedItems containsString="0" containsBlank="1" containsNumber="1" containsInteger="1" minValue="20" maxValue="4177"/>
    </cacheField>
    <cacheField name="Precio + Dcto" numFmtId="0">
      <sharedItems containsString="0" containsBlank="1" containsNumber="1" minValue="20" maxValue="4177"/>
    </cacheField>
    <cacheField name="Precio VENTA" numFmtId="0">
      <sharedItems containsString="0" containsBlank="1" containsNumber="1" minValue="22.5" maxValue="4699.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2">
  <r>
    <x v="0"/>
    <x v="0"/>
    <x v="0"/>
    <x v="0"/>
    <x v="0"/>
    <x v="0"/>
    <n v="31.35"/>
    <n v="2.85"/>
    <x v="0"/>
    <s v="DOMINIO"/>
    <x v="0"/>
    <m/>
    <m/>
    <n v="2456"/>
    <n v="2210.4"/>
    <n v="2486.6999999999998"/>
  </r>
  <r>
    <x v="0"/>
    <x v="0"/>
    <x v="1"/>
    <x v="1"/>
    <x v="1"/>
    <x v="0"/>
    <n v="24.02"/>
    <n v="0"/>
    <x v="1"/>
    <s v="DOMINIO"/>
    <x v="0"/>
    <m/>
    <m/>
    <n v="2168"/>
    <n v="1951.2"/>
    <n v="2195.1"/>
  </r>
  <r>
    <x v="0"/>
    <x v="0"/>
    <x v="1"/>
    <x v="2"/>
    <x v="2"/>
    <x v="0"/>
    <n v="23.93"/>
    <n v="0"/>
    <x v="1"/>
    <s v="DOMINIO"/>
    <x v="0"/>
    <m/>
    <m/>
    <n v="2181"/>
    <n v="1962.9"/>
    <n v="2208.2624999999998"/>
  </r>
  <r>
    <x v="0"/>
    <x v="0"/>
    <x v="2"/>
    <x v="3"/>
    <x v="3"/>
    <x v="0"/>
    <n v="29.76"/>
    <n v="0"/>
    <x v="0"/>
    <s v="DOMINIO"/>
    <x v="0"/>
    <m/>
    <m/>
    <n v="2444"/>
    <n v="2199.6"/>
    <n v="2474.5499999999997"/>
  </r>
  <r>
    <x v="0"/>
    <x v="0"/>
    <x v="2"/>
    <x v="4"/>
    <x v="0"/>
    <x v="0"/>
    <n v="29.76"/>
    <n v="0"/>
    <x v="0"/>
    <s v="DOMINIO"/>
    <x v="0"/>
    <m/>
    <m/>
    <n v="2456"/>
    <n v="2210.4"/>
    <n v="2486.6999999999998"/>
  </r>
  <r>
    <x v="0"/>
    <x v="0"/>
    <x v="2"/>
    <x v="5"/>
    <x v="4"/>
    <x v="0"/>
    <n v="29.76"/>
    <n v="0"/>
    <x v="0"/>
    <s v="DOMINIO"/>
    <x v="0"/>
    <m/>
    <m/>
    <n v="2468"/>
    <n v="2221.2000000000003"/>
    <n v="2498.85"/>
  </r>
  <r>
    <x v="0"/>
    <x v="0"/>
    <x v="3"/>
    <x v="6"/>
    <x v="5"/>
    <x v="0"/>
    <n v="36.14"/>
    <n v="2.0499999999999998"/>
    <x v="1"/>
    <s v="DOMINIO"/>
    <x v="1"/>
    <m/>
    <m/>
    <n v="2770"/>
    <n v="2493"/>
    <n v="2804.6249999999995"/>
  </r>
  <r>
    <x v="0"/>
    <x v="0"/>
    <x v="4"/>
    <x v="7"/>
    <x v="6"/>
    <x v="0"/>
    <n v="45.61"/>
    <n v="2.66"/>
    <x v="2"/>
    <s v="DOMINIO"/>
    <x v="0"/>
    <s v="B - 64"/>
    <m/>
    <n v="2932"/>
    <n v="2638.8"/>
    <n v="2968.65"/>
  </r>
  <r>
    <x v="0"/>
    <x v="0"/>
    <x v="4"/>
    <x v="8"/>
    <x v="4"/>
    <x v="0"/>
    <n v="43.1"/>
    <n v="2.2400000000000002"/>
    <x v="1"/>
    <s v="DOMINIO"/>
    <x v="0"/>
    <m/>
    <m/>
    <n v="3041"/>
    <n v="2736.9"/>
    <n v="3079.0124999999998"/>
  </r>
  <r>
    <x v="0"/>
    <x v="0"/>
    <x v="4"/>
    <x v="9"/>
    <x v="4"/>
    <x v="0"/>
    <n v="43.1"/>
    <n v="2.2400000000000002"/>
    <x v="3"/>
    <s v="DOMINIO"/>
    <x v="0"/>
    <m/>
    <m/>
    <n v="3065"/>
    <n v="2758.5"/>
    <n v="3103.3125"/>
  </r>
  <r>
    <x v="0"/>
    <x v="0"/>
    <x v="4"/>
    <x v="10"/>
    <x v="7"/>
    <x v="0"/>
    <n v="43.49"/>
    <n v="2.2400000000000002"/>
    <x v="1"/>
    <s v="DOMINIO"/>
    <x v="0"/>
    <m/>
    <m/>
    <n v="3053"/>
    <n v="2747.7000000000003"/>
    <n v="3091.1625000000004"/>
  </r>
  <r>
    <x v="0"/>
    <x v="0"/>
    <x v="4"/>
    <x v="11"/>
    <x v="7"/>
    <x v="0"/>
    <n v="46.44"/>
    <n v="2.77"/>
    <x v="3"/>
    <s v="DOMINIO"/>
    <x v="0"/>
    <m/>
    <m/>
    <n v="3078"/>
    <n v="2770.2000000000003"/>
    <n v="3116.4750000000004"/>
  </r>
  <r>
    <x v="0"/>
    <x v="0"/>
    <x v="4"/>
    <x v="12"/>
    <x v="8"/>
    <x v="0"/>
    <n v="43.49"/>
    <n v="2.2400000000000002"/>
    <x v="1"/>
    <s v="DOMINIO"/>
    <x v="0"/>
    <m/>
    <m/>
    <n v="3065"/>
    <n v="2758.5"/>
    <n v="3103.3125"/>
  </r>
  <r>
    <x v="0"/>
    <x v="0"/>
    <x v="4"/>
    <x v="13"/>
    <x v="8"/>
    <x v="0"/>
    <n v="46.44"/>
    <n v="2.77"/>
    <x v="3"/>
    <s v="DOMINIO"/>
    <x v="0"/>
    <m/>
    <m/>
    <n v="3090"/>
    <n v="2781"/>
    <n v="3128.625"/>
  </r>
  <r>
    <x v="0"/>
    <x v="0"/>
    <x v="4"/>
    <x v="14"/>
    <x v="9"/>
    <x v="0"/>
    <n v="43.61"/>
    <n v="2.2400000000000002"/>
    <x v="1"/>
    <s v="DOMINIO"/>
    <x v="0"/>
    <s v="B - 69"/>
    <m/>
    <n v="3078"/>
    <n v="2770.2000000000003"/>
    <n v="3116.4750000000004"/>
  </r>
  <r>
    <x v="0"/>
    <x v="0"/>
    <x v="4"/>
    <x v="15"/>
    <x v="9"/>
    <x v="0"/>
    <n v="43.49"/>
    <n v="2.2400000000000002"/>
    <x v="1"/>
    <s v="DOMINIO"/>
    <x v="0"/>
    <m/>
    <m/>
    <n v="3078"/>
    <n v="2770.2000000000003"/>
    <n v="3116.4750000000004"/>
  </r>
  <r>
    <x v="0"/>
    <x v="0"/>
    <x v="4"/>
    <x v="16"/>
    <x v="9"/>
    <x v="0"/>
    <n v="46.44"/>
    <n v="2.77"/>
    <x v="3"/>
    <s v="DOMINIO"/>
    <x v="0"/>
    <m/>
    <m/>
    <n v="3102"/>
    <n v="2791.8"/>
    <n v="3140.7750000000001"/>
  </r>
  <r>
    <x v="0"/>
    <x v="0"/>
    <x v="4"/>
    <x v="17"/>
    <x v="5"/>
    <x v="0"/>
    <n v="43.61"/>
    <n v="2.2400000000000002"/>
    <x v="1"/>
    <s v="DOMINIO"/>
    <x v="0"/>
    <m/>
    <m/>
    <n v="3090"/>
    <n v="2781"/>
    <n v="3128.625"/>
  </r>
  <r>
    <x v="0"/>
    <x v="0"/>
    <x v="4"/>
    <x v="18"/>
    <x v="5"/>
    <x v="0"/>
    <n v="43.1"/>
    <n v="2.2400000000000002"/>
    <x v="1"/>
    <s v="DOMINIO"/>
    <x v="0"/>
    <m/>
    <m/>
    <n v="3090"/>
    <n v="2781"/>
    <n v="3128.625"/>
  </r>
  <r>
    <x v="0"/>
    <x v="0"/>
    <x v="4"/>
    <x v="19"/>
    <x v="5"/>
    <x v="0"/>
    <n v="43.49"/>
    <n v="2.2400000000000002"/>
    <x v="1"/>
    <s v="DOMINIO"/>
    <x v="0"/>
    <m/>
    <m/>
    <n v="3090"/>
    <n v="2781"/>
    <n v="3128.625"/>
  </r>
  <r>
    <x v="0"/>
    <x v="0"/>
    <x v="4"/>
    <x v="20"/>
    <x v="5"/>
    <x v="0"/>
    <n v="46.44"/>
    <n v="2.77"/>
    <x v="3"/>
    <s v="DOMINIO"/>
    <x v="0"/>
    <m/>
    <m/>
    <n v="3114"/>
    <n v="2802.6"/>
    <n v="3152.9250000000002"/>
  </r>
  <r>
    <x v="0"/>
    <x v="0"/>
    <x v="4"/>
    <x v="21"/>
    <x v="10"/>
    <x v="0"/>
    <n v="43.61"/>
    <n v="2.2400000000000002"/>
    <x v="1"/>
    <s v="DOMINIO"/>
    <x v="0"/>
    <s v="B - 71"/>
    <m/>
    <n v="3102"/>
    <n v="2791.8"/>
    <n v="3140.7750000000001"/>
  </r>
  <r>
    <x v="0"/>
    <x v="0"/>
    <x v="4"/>
    <x v="22"/>
    <x v="10"/>
    <x v="0"/>
    <n v="43.1"/>
    <n v="2.2400000000000002"/>
    <x v="1"/>
    <s v="DOMINIO"/>
    <x v="0"/>
    <m/>
    <m/>
    <n v="3102"/>
    <n v="2791.8"/>
    <n v="3140.7750000000001"/>
  </r>
  <r>
    <x v="0"/>
    <x v="0"/>
    <x v="4"/>
    <x v="23"/>
    <x v="10"/>
    <x v="0"/>
    <n v="43.49"/>
    <n v="2.2400000000000002"/>
    <x v="1"/>
    <s v="DOMINIO"/>
    <x v="0"/>
    <m/>
    <m/>
    <n v="3102"/>
    <n v="2791.8"/>
    <n v="3140.7750000000001"/>
  </r>
  <r>
    <x v="0"/>
    <x v="0"/>
    <x v="4"/>
    <x v="24"/>
    <x v="10"/>
    <x v="0"/>
    <n v="46.44"/>
    <n v="2.77"/>
    <x v="3"/>
    <s v="DOMINIO"/>
    <x v="0"/>
    <m/>
    <m/>
    <n v="3126"/>
    <n v="2813.4"/>
    <n v="3165.0749999999998"/>
  </r>
  <r>
    <x v="0"/>
    <x v="0"/>
    <x v="4"/>
    <x v="25"/>
    <x v="10"/>
    <x v="0"/>
    <n v="46.44"/>
    <n v="2.77"/>
    <x v="0"/>
    <s v="DOMINIO"/>
    <x v="0"/>
    <m/>
    <m/>
    <n v="3065"/>
    <n v="2758.5"/>
    <n v="3103.3125"/>
  </r>
  <r>
    <x v="0"/>
    <x v="0"/>
    <x v="4"/>
    <x v="26"/>
    <x v="11"/>
    <x v="0"/>
    <n v="43.61"/>
    <n v="2.2400000000000002"/>
    <x v="1"/>
    <s v="DOMINIO"/>
    <x v="0"/>
    <m/>
    <m/>
    <n v="3114"/>
    <n v="2802.6"/>
    <n v="3152.9250000000002"/>
  </r>
  <r>
    <x v="0"/>
    <x v="0"/>
    <x v="4"/>
    <x v="27"/>
    <x v="11"/>
    <x v="0"/>
    <n v="43.1"/>
    <n v="2.2400000000000002"/>
    <x v="1"/>
    <s v="DOMINIO"/>
    <x v="0"/>
    <m/>
    <m/>
    <n v="3114"/>
    <n v="2802.6"/>
    <n v="3152.9250000000002"/>
  </r>
  <r>
    <x v="0"/>
    <x v="0"/>
    <x v="4"/>
    <x v="28"/>
    <x v="11"/>
    <x v="0"/>
    <n v="43.49"/>
    <n v="2.2400000000000002"/>
    <x v="1"/>
    <s v="DOMINIO"/>
    <x v="0"/>
    <m/>
    <m/>
    <n v="3114"/>
    <n v="2802.6"/>
    <n v="3152.9250000000002"/>
  </r>
  <r>
    <x v="0"/>
    <x v="0"/>
    <x v="4"/>
    <x v="29"/>
    <x v="11"/>
    <x v="0"/>
    <n v="46.44"/>
    <n v="2.77"/>
    <x v="3"/>
    <s v="DOMINIO"/>
    <x v="0"/>
    <m/>
    <m/>
    <n v="3138"/>
    <n v="2824.2000000000003"/>
    <n v="3177.2249999999999"/>
  </r>
  <r>
    <x v="0"/>
    <x v="0"/>
    <x v="4"/>
    <x v="30"/>
    <x v="11"/>
    <x v="0"/>
    <n v="46.44"/>
    <n v="2.77"/>
    <x v="0"/>
    <s v="DOMINIO"/>
    <x v="0"/>
    <m/>
    <m/>
    <n v="3078"/>
    <n v="2770.2000000000003"/>
    <n v="3116.4750000000004"/>
  </r>
  <r>
    <x v="0"/>
    <x v="0"/>
    <x v="4"/>
    <x v="31"/>
    <x v="12"/>
    <x v="0"/>
    <n v="43.1"/>
    <n v="2.2400000000000002"/>
    <x v="1"/>
    <s v="DOMINIO"/>
    <x v="0"/>
    <m/>
    <m/>
    <n v="3120"/>
    <n v="2808"/>
    <n v="3158.9999999999995"/>
  </r>
  <r>
    <x v="0"/>
    <x v="0"/>
    <x v="4"/>
    <x v="32"/>
    <x v="12"/>
    <x v="0"/>
    <n v="43.49"/>
    <n v="2.2400000000000002"/>
    <x v="1"/>
    <s v="DOMINIO"/>
    <x v="0"/>
    <m/>
    <m/>
    <n v="3120"/>
    <n v="2808"/>
    <n v="3158.9999999999995"/>
  </r>
  <r>
    <x v="0"/>
    <x v="0"/>
    <x v="4"/>
    <x v="33"/>
    <x v="12"/>
    <x v="0"/>
    <n v="46.44"/>
    <n v="2.77"/>
    <x v="3"/>
    <s v="DOMINIO"/>
    <x v="0"/>
    <m/>
    <m/>
    <n v="3144"/>
    <n v="2829.6"/>
    <n v="3183.2999999999997"/>
  </r>
  <r>
    <x v="0"/>
    <x v="0"/>
    <x v="4"/>
    <x v="34"/>
    <x v="12"/>
    <x v="0"/>
    <n v="46.44"/>
    <n v="2.77"/>
    <x v="0"/>
    <s v="DOMINIO"/>
    <x v="0"/>
    <m/>
    <m/>
    <n v="3084"/>
    <n v="2775.6"/>
    <n v="3122.5499999999997"/>
  </r>
  <r>
    <x v="0"/>
    <x v="0"/>
    <x v="4"/>
    <x v="35"/>
    <x v="13"/>
    <x v="0"/>
    <n v="43.61"/>
    <n v="2.2400000000000002"/>
    <x v="1"/>
    <s v="DOMINIO"/>
    <x v="0"/>
    <m/>
    <m/>
    <n v="3126"/>
    <n v="2813.4"/>
    <n v="3165.0749999999998"/>
  </r>
  <r>
    <x v="0"/>
    <x v="0"/>
    <x v="4"/>
    <x v="36"/>
    <x v="13"/>
    <x v="0"/>
    <n v="43.1"/>
    <n v="2.2400000000000002"/>
    <x v="1"/>
    <s v="DOMINIO"/>
    <x v="0"/>
    <m/>
    <m/>
    <n v="3126"/>
    <n v="2813.4"/>
    <n v="3165.0749999999998"/>
  </r>
  <r>
    <x v="0"/>
    <x v="0"/>
    <x v="4"/>
    <x v="37"/>
    <x v="13"/>
    <x v="0"/>
    <n v="43.49"/>
    <n v="2.2400000000000002"/>
    <x v="1"/>
    <s v="DOMINIO"/>
    <x v="0"/>
    <m/>
    <m/>
    <n v="3126"/>
    <n v="2813.4"/>
    <n v="3165.0749999999998"/>
  </r>
  <r>
    <x v="0"/>
    <x v="0"/>
    <x v="4"/>
    <x v="38"/>
    <x v="13"/>
    <x v="0"/>
    <n v="46.44"/>
    <n v="2.77"/>
    <x v="3"/>
    <s v="DOMINIO"/>
    <x v="0"/>
    <m/>
    <m/>
    <n v="3150"/>
    <n v="2835"/>
    <n v="3189.375"/>
  </r>
  <r>
    <x v="0"/>
    <x v="0"/>
    <x v="4"/>
    <x v="39"/>
    <x v="13"/>
    <x v="0"/>
    <n v="46.44"/>
    <n v="2.77"/>
    <x v="0"/>
    <s v="DOMINIO"/>
    <x v="0"/>
    <m/>
    <m/>
    <n v="3090"/>
    <n v="2781"/>
    <n v="3128.625"/>
  </r>
  <r>
    <x v="0"/>
    <x v="0"/>
    <x v="4"/>
    <x v="40"/>
    <x v="14"/>
    <x v="0"/>
    <n v="43.61"/>
    <n v="2.2400000000000002"/>
    <x v="1"/>
    <s v="DOMINIO"/>
    <x v="0"/>
    <s v="B - 75"/>
    <m/>
    <n v="3132"/>
    <n v="2818.8"/>
    <n v="3171.15"/>
  </r>
  <r>
    <x v="0"/>
    <x v="0"/>
    <x v="4"/>
    <x v="41"/>
    <x v="14"/>
    <x v="0"/>
    <n v="43.1"/>
    <n v="2.2400000000000002"/>
    <x v="1"/>
    <s v="DOMINIO"/>
    <x v="0"/>
    <m/>
    <m/>
    <n v="3132"/>
    <n v="2818.8"/>
    <n v="3171.15"/>
  </r>
  <r>
    <x v="0"/>
    <x v="0"/>
    <x v="4"/>
    <x v="42"/>
    <x v="14"/>
    <x v="0"/>
    <n v="43.49"/>
    <n v="2.2400000000000002"/>
    <x v="1"/>
    <s v="DOMINIO"/>
    <x v="0"/>
    <m/>
    <m/>
    <n v="3132"/>
    <n v="2818.8"/>
    <n v="3171.15"/>
  </r>
  <r>
    <x v="0"/>
    <x v="0"/>
    <x v="4"/>
    <x v="43"/>
    <x v="14"/>
    <x v="0"/>
    <n v="46.44"/>
    <n v="2.77"/>
    <x v="3"/>
    <s v="DOMINIO"/>
    <x v="0"/>
    <m/>
    <m/>
    <n v="3156"/>
    <n v="2840.4"/>
    <n v="3195.45"/>
  </r>
  <r>
    <x v="0"/>
    <x v="0"/>
    <x v="4"/>
    <x v="44"/>
    <x v="14"/>
    <x v="0"/>
    <n v="46.44"/>
    <n v="2.77"/>
    <x v="0"/>
    <s v="DOMINIO"/>
    <x v="0"/>
    <m/>
    <m/>
    <n v="3096"/>
    <n v="2786.4"/>
    <n v="3134.7000000000003"/>
  </r>
  <r>
    <x v="0"/>
    <x v="0"/>
    <x v="4"/>
    <x v="45"/>
    <x v="15"/>
    <x v="0"/>
    <n v="43.61"/>
    <n v="2.2400000000000002"/>
    <x v="1"/>
    <s v="DOMINIO"/>
    <x v="0"/>
    <m/>
    <m/>
    <n v="3138"/>
    <n v="2824.2000000000003"/>
    <n v="3177.2249999999999"/>
  </r>
  <r>
    <x v="0"/>
    <x v="0"/>
    <x v="4"/>
    <x v="46"/>
    <x v="15"/>
    <x v="0"/>
    <n v="43.1"/>
    <n v="2.2400000000000002"/>
    <x v="1"/>
    <s v="DOMINIO"/>
    <x v="0"/>
    <m/>
    <m/>
    <n v="3138"/>
    <n v="2824.2000000000003"/>
    <n v="3177.2249999999999"/>
  </r>
  <r>
    <x v="0"/>
    <x v="0"/>
    <x v="4"/>
    <x v="47"/>
    <x v="15"/>
    <x v="0"/>
    <n v="43.49"/>
    <n v="2.2400000000000002"/>
    <x v="1"/>
    <s v="DOMINIO"/>
    <x v="0"/>
    <m/>
    <m/>
    <n v="3138"/>
    <n v="2824.2000000000003"/>
    <n v="3177.2249999999999"/>
  </r>
  <r>
    <x v="0"/>
    <x v="0"/>
    <x v="4"/>
    <x v="48"/>
    <x v="15"/>
    <x v="0"/>
    <n v="46.44"/>
    <n v="2.77"/>
    <x v="3"/>
    <s v="DOMINIO"/>
    <x v="0"/>
    <m/>
    <m/>
    <n v="3162"/>
    <n v="2845.8"/>
    <n v="3201.5250000000001"/>
  </r>
  <r>
    <x v="0"/>
    <x v="0"/>
    <x v="4"/>
    <x v="49"/>
    <x v="15"/>
    <x v="0"/>
    <n v="46.44"/>
    <n v="2.77"/>
    <x v="0"/>
    <s v="DOMINIO"/>
    <x v="0"/>
    <m/>
    <m/>
    <n v="3102"/>
    <n v="2791.8"/>
    <n v="3140.7750000000001"/>
  </r>
  <r>
    <x v="0"/>
    <x v="0"/>
    <x v="4"/>
    <x v="50"/>
    <x v="16"/>
    <x v="0"/>
    <n v="43.61"/>
    <n v="2.2400000000000002"/>
    <x v="1"/>
    <s v="DOMINIO"/>
    <x v="0"/>
    <s v="B - 77"/>
    <m/>
    <n v="3144"/>
    <n v="2829.6"/>
    <n v="3183.2999999999997"/>
  </r>
  <r>
    <x v="0"/>
    <x v="0"/>
    <x v="4"/>
    <x v="51"/>
    <x v="16"/>
    <x v="0"/>
    <n v="43.1"/>
    <n v="2.2400000000000002"/>
    <x v="1"/>
    <s v="DOMINIO"/>
    <x v="0"/>
    <m/>
    <m/>
    <n v="3144"/>
    <n v="2829.6"/>
    <n v="3183.2999999999997"/>
  </r>
  <r>
    <x v="0"/>
    <x v="0"/>
    <x v="4"/>
    <x v="52"/>
    <x v="16"/>
    <x v="0"/>
    <n v="43.49"/>
    <n v="2.2400000000000002"/>
    <x v="1"/>
    <s v="DOMINIO"/>
    <x v="0"/>
    <m/>
    <m/>
    <n v="3144"/>
    <n v="2829.6"/>
    <n v="3183.2999999999997"/>
  </r>
  <r>
    <x v="0"/>
    <x v="0"/>
    <x v="4"/>
    <x v="53"/>
    <x v="16"/>
    <x v="0"/>
    <n v="46.44"/>
    <n v="2.77"/>
    <x v="3"/>
    <s v="DOMINIO"/>
    <x v="0"/>
    <m/>
    <m/>
    <n v="3168"/>
    <n v="2851.2000000000003"/>
    <n v="3207.6000000000004"/>
  </r>
  <r>
    <x v="0"/>
    <x v="0"/>
    <x v="4"/>
    <x v="54"/>
    <x v="16"/>
    <x v="0"/>
    <n v="46.44"/>
    <n v="2.77"/>
    <x v="0"/>
    <s v="DOMINIO"/>
    <x v="0"/>
    <m/>
    <m/>
    <n v="3108"/>
    <n v="2797.2000000000003"/>
    <n v="3146.8500000000004"/>
  </r>
  <r>
    <x v="0"/>
    <x v="0"/>
    <x v="4"/>
    <x v="55"/>
    <x v="17"/>
    <x v="0"/>
    <n v="43.61"/>
    <n v="2.2400000000000002"/>
    <x v="1"/>
    <s v="DOMINIO"/>
    <x v="0"/>
    <m/>
    <m/>
    <n v="3150"/>
    <n v="2835"/>
    <n v="3189.375"/>
  </r>
  <r>
    <x v="0"/>
    <x v="0"/>
    <x v="4"/>
    <x v="56"/>
    <x v="17"/>
    <x v="0"/>
    <n v="43.1"/>
    <n v="2.2400000000000002"/>
    <x v="1"/>
    <s v="DOMINIO"/>
    <x v="0"/>
    <m/>
    <m/>
    <n v="3150"/>
    <n v="2835"/>
    <n v="3189.375"/>
  </r>
  <r>
    <x v="0"/>
    <x v="0"/>
    <x v="4"/>
    <x v="57"/>
    <x v="17"/>
    <x v="0"/>
    <n v="43.49"/>
    <n v="2.2400000000000002"/>
    <x v="1"/>
    <s v="DOMINIO"/>
    <x v="0"/>
    <m/>
    <m/>
    <n v="3150"/>
    <n v="2835"/>
    <n v="3189.375"/>
  </r>
  <r>
    <x v="0"/>
    <x v="0"/>
    <x v="4"/>
    <x v="58"/>
    <x v="17"/>
    <x v="0"/>
    <n v="46.44"/>
    <n v="2.77"/>
    <x v="3"/>
    <s v="DOMINIO"/>
    <x v="0"/>
    <m/>
    <m/>
    <n v="3175"/>
    <n v="2857.5"/>
    <n v="3214.6875"/>
  </r>
  <r>
    <x v="0"/>
    <x v="0"/>
    <x v="4"/>
    <x v="59"/>
    <x v="17"/>
    <x v="0"/>
    <n v="46.44"/>
    <n v="2.77"/>
    <x v="0"/>
    <s v="DOMINIO"/>
    <x v="0"/>
    <m/>
    <m/>
    <n v="3114"/>
    <n v="2802.6"/>
    <n v="3152.9250000000002"/>
  </r>
  <r>
    <x v="0"/>
    <x v="0"/>
    <x v="4"/>
    <x v="60"/>
    <x v="1"/>
    <x v="0"/>
    <n v="43.61"/>
    <n v="2.2400000000000002"/>
    <x v="1"/>
    <s v="DOMINIO"/>
    <x v="0"/>
    <s v="B - 79"/>
    <m/>
    <n v="3156"/>
    <n v="2840.4"/>
    <n v="3195.45"/>
  </r>
  <r>
    <x v="0"/>
    <x v="0"/>
    <x v="4"/>
    <x v="61"/>
    <x v="1"/>
    <x v="0"/>
    <n v="43.1"/>
    <n v="2.2400000000000002"/>
    <x v="1"/>
    <s v="DOMINIO"/>
    <x v="0"/>
    <m/>
    <m/>
    <n v="3156"/>
    <n v="2840.4"/>
    <n v="3195.45"/>
  </r>
  <r>
    <x v="0"/>
    <x v="0"/>
    <x v="4"/>
    <x v="62"/>
    <x v="1"/>
    <x v="0"/>
    <n v="43.49"/>
    <n v="2.2400000000000002"/>
    <x v="1"/>
    <s v="DOMINIO"/>
    <x v="0"/>
    <m/>
    <m/>
    <n v="3156"/>
    <n v="2840.4"/>
    <n v="3195.45"/>
  </r>
  <r>
    <x v="0"/>
    <x v="0"/>
    <x v="4"/>
    <x v="63"/>
    <x v="1"/>
    <x v="0"/>
    <n v="46.44"/>
    <n v="2.77"/>
    <x v="3"/>
    <s v="DOMINIO"/>
    <x v="0"/>
    <m/>
    <m/>
    <n v="3181"/>
    <n v="2862.9"/>
    <n v="3220.7624999999998"/>
  </r>
  <r>
    <x v="0"/>
    <x v="0"/>
    <x v="4"/>
    <x v="64"/>
    <x v="18"/>
    <x v="0"/>
    <n v="43.61"/>
    <n v="2.2400000000000002"/>
    <x v="1"/>
    <s v="DOMINIO"/>
    <x v="0"/>
    <m/>
    <m/>
    <n v="3162"/>
    <n v="2845.8"/>
    <n v="3201.5250000000001"/>
  </r>
  <r>
    <x v="0"/>
    <x v="0"/>
    <x v="4"/>
    <x v="65"/>
    <x v="18"/>
    <x v="0"/>
    <n v="43.1"/>
    <n v="2.2400000000000002"/>
    <x v="1"/>
    <s v="DOMINIO"/>
    <x v="0"/>
    <m/>
    <m/>
    <n v="3162"/>
    <n v="2845.8"/>
    <n v="3201.5250000000001"/>
  </r>
  <r>
    <x v="0"/>
    <x v="0"/>
    <x v="4"/>
    <x v="66"/>
    <x v="18"/>
    <x v="0"/>
    <n v="43.49"/>
    <n v="2.2400000000000002"/>
    <x v="1"/>
    <s v="DOMINIO"/>
    <x v="0"/>
    <m/>
    <m/>
    <n v="3162"/>
    <n v="2845.8"/>
    <n v="3201.5250000000001"/>
  </r>
  <r>
    <x v="0"/>
    <x v="0"/>
    <x v="4"/>
    <x v="67"/>
    <x v="18"/>
    <x v="0"/>
    <n v="46.44"/>
    <n v="2.77"/>
    <x v="3"/>
    <s v="DOMINIO"/>
    <x v="0"/>
    <m/>
    <m/>
    <n v="3187"/>
    <n v="2868.3"/>
    <n v="3226.8375000000001"/>
  </r>
  <r>
    <x v="0"/>
    <x v="0"/>
    <x v="4"/>
    <x v="68"/>
    <x v="2"/>
    <x v="0"/>
    <n v="43.61"/>
    <n v="2.2400000000000002"/>
    <x v="1"/>
    <s v="DOMINIO"/>
    <x v="0"/>
    <s v="B - 81"/>
    <m/>
    <n v="3168"/>
    <n v="2851.2000000000003"/>
    <n v="3207.6000000000004"/>
  </r>
  <r>
    <x v="0"/>
    <x v="0"/>
    <x v="4"/>
    <x v="69"/>
    <x v="2"/>
    <x v="0"/>
    <n v="43.1"/>
    <n v="2.2400000000000002"/>
    <x v="1"/>
    <s v="DOMINIO"/>
    <x v="0"/>
    <m/>
    <m/>
    <n v="3168"/>
    <n v="2851.2000000000003"/>
    <n v="3207.6000000000004"/>
  </r>
  <r>
    <x v="0"/>
    <x v="0"/>
    <x v="4"/>
    <x v="70"/>
    <x v="2"/>
    <x v="0"/>
    <n v="43.49"/>
    <n v="2.2400000000000002"/>
    <x v="1"/>
    <s v="DOMINIO"/>
    <x v="0"/>
    <m/>
    <m/>
    <n v="3168"/>
    <n v="2851.2000000000003"/>
    <n v="3207.6000000000004"/>
  </r>
  <r>
    <x v="0"/>
    <x v="0"/>
    <x v="4"/>
    <x v="71"/>
    <x v="19"/>
    <x v="0"/>
    <n v="43.61"/>
    <n v="2.2400000000000002"/>
    <x v="1"/>
    <s v="DOMINIO"/>
    <x v="0"/>
    <m/>
    <m/>
    <n v="3175"/>
    <n v="2857.5"/>
    <n v="3214.6875"/>
  </r>
  <r>
    <x v="0"/>
    <x v="0"/>
    <x v="4"/>
    <x v="72"/>
    <x v="19"/>
    <x v="0"/>
    <n v="43.77"/>
    <n v="2.2400000000000002"/>
    <x v="1"/>
    <s v="DOMINIO"/>
    <x v="0"/>
    <m/>
    <m/>
    <n v="3175"/>
    <n v="2857.5"/>
    <n v="3214.6875"/>
  </r>
  <r>
    <x v="0"/>
    <x v="0"/>
    <x v="5"/>
    <x v="73"/>
    <x v="0"/>
    <x v="0"/>
    <n v="46.55"/>
    <n v="2.2599999999999998"/>
    <x v="2"/>
    <s v="DOMINIO"/>
    <x v="0"/>
    <m/>
    <m/>
    <n v="3198"/>
    <n v="2782.2599999999998"/>
    <n v="3130.0424999999996"/>
  </r>
  <r>
    <x v="0"/>
    <x v="0"/>
    <x v="5"/>
    <x v="74"/>
    <x v="8"/>
    <x v="0"/>
    <n v="47.06"/>
    <n v="2.2599999999999998"/>
    <x v="2"/>
    <s v="DOMINIO"/>
    <x v="0"/>
    <s v="B - 68"/>
    <m/>
    <n v="3234"/>
    <n v="2813.58"/>
    <n v="3165.2774999999997"/>
  </r>
  <r>
    <x v="0"/>
    <x v="0"/>
    <x v="5"/>
    <x v="75"/>
    <x v="9"/>
    <x v="0"/>
    <n v="46.55"/>
    <n v="2.2599999999999998"/>
    <x v="2"/>
    <s v="DOMINIO"/>
    <x v="0"/>
    <m/>
    <m/>
    <n v="3246"/>
    <n v="2824.02"/>
    <n v="3177.0224999999996"/>
  </r>
  <r>
    <x v="0"/>
    <x v="0"/>
    <x v="5"/>
    <x v="76"/>
    <x v="9"/>
    <x v="0"/>
    <n v="47.06"/>
    <n v="2.2599999999999998"/>
    <x v="2"/>
    <s v="DOMINIO"/>
    <x v="0"/>
    <m/>
    <m/>
    <n v="3246"/>
    <n v="2824.02"/>
    <n v="3177.0224999999996"/>
  </r>
  <r>
    <x v="0"/>
    <x v="0"/>
    <x v="5"/>
    <x v="77"/>
    <x v="5"/>
    <x v="0"/>
    <n v="46.55"/>
    <n v="2.2599999999999998"/>
    <x v="2"/>
    <s v="DOMINIO"/>
    <x v="0"/>
    <m/>
    <m/>
    <n v="3258"/>
    <n v="2834.46"/>
    <n v="3188.7674999999999"/>
  </r>
  <r>
    <x v="0"/>
    <x v="0"/>
    <x v="5"/>
    <x v="78"/>
    <x v="5"/>
    <x v="0"/>
    <n v="47.06"/>
    <n v="2.2599999999999998"/>
    <x v="2"/>
    <s v="DOMINIO"/>
    <x v="0"/>
    <s v="B - 70"/>
    <m/>
    <n v="3258"/>
    <n v="2834.46"/>
    <n v="3188.7674999999999"/>
  </r>
  <r>
    <x v="0"/>
    <x v="0"/>
    <x v="5"/>
    <x v="79"/>
    <x v="10"/>
    <x v="0"/>
    <n v="46.55"/>
    <n v="2.2599999999999998"/>
    <x v="2"/>
    <s v="DOMINIO"/>
    <x v="0"/>
    <m/>
    <m/>
    <n v="3270"/>
    <n v="2844.9"/>
    <n v="3200.5124999999998"/>
  </r>
  <r>
    <x v="0"/>
    <x v="0"/>
    <x v="5"/>
    <x v="80"/>
    <x v="10"/>
    <x v="0"/>
    <n v="47.06"/>
    <n v="2.2599999999999998"/>
    <x v="2"/>
    <s v="DOMINIO"/>
    <x v="0"/>
    <m/>
    <m/>
    <n v="3270"/>
    <n v="2844.9"/>
    <n v="3200.5124999999998"/>
  </r>
  <r>
    <x v="0"/>
    <x v="0"/>
    <x v="5"/>
    <x v="81"/>
    <x v="11"/>
    <x v="0"/>
    <n v="46.55"/>
    <n v="2.2599999999999998"/>
    <x v="2"/>
    <s v="DOMINIO"/>
    <x v="0"/>
    <m/>
    <m/>
    <n v="3282"/>
    <n v="2855.34"/>
    <n v="3212.2574999999997"/>
  </r>
  <r>
    <x v="0"/>
    <x v="0"/>
    <x v="5"/>
    <x v="82"/>
    <x v="11"/>
    <x v="0"/>
    <n v="47.06"/>
    <n v="2.2599999999999998"/>
    <x v="2"/>
    <s v="DOMINIO"/>
    <x v="0"/>
    <s v="B - 72"/>
    <m/>
    <n v="3282"/>
    <n v="2855.34"/>
    <n v="3212.2574999999997"/>
  </r>
  <r>
    <x v="0"/>
    <x v="0"/>
    <x v="5"/>
    <x v="83"/>
    <x v="12"/>
    <x v="0"/>
    <n v="46.55"/>
    <n v="2.2599999999999998"/>
    <x v="2"/>
    <s v="DOMINIO"/>
    <x v="0"/>
    <m/>
    <m/>
    <n v="3288"/>
    <n v="2860.56"/>
    <n v="3218.1299999999997"/>
  </r>
  <r>
    <x v="0"/>
    <x v="0"/>
    <x v="5"/>
    <x v="84"/>
    <x v="12"/>
    <x v="0"/>
    <n v="47.06"/>
    <n v="2.2599999999999998"/>
    <x v="2"/>
    <s v="DOMINIO"/>
    <x v="0"/>
    <m/>
    <m/>
    <n v="3288"/>
    <n v="2860.56"/>
    <n v="3218.1299999999997"/>
  </r>
  <r>
    <x v="0"/>
    <x v="0"/>
    <x v="5"/>
    <x v="85"/>
    <x v="13"/>
    <x v="0"/>
    <n v="46.55"/>
    <n v="2.2599999999999998"/>
    <x v="2"/>
    <s v="DOMINIO"/>
    <x v="0"/>
    <m/>
    <m/>
    <n v="3295"/>
    <n v="2866.65"/>
    <n v="3224.9812499999998"/>
  </r>
  <r>
    <x v="0"/>
    <x v="0"/>
    <x v="5"/>
    <x v="86"/>
    <x v="13"/>
    <x v="0"/>
    <n v="47.06"/>
    <n v="2.2599999999999998"/>
    <x v="2"/>
    <s v="DOMINIO"/>
    <x v="0"/>
    <s v="B - 74"/>
    <m/>
    <n v="3295"/>
    <n v="2866.65"/>
    <n v="3224.9812499999998"/>
  </r>
  <r>
    <x v="0"/>
    <x v="0"/>
    <x v="5"/>
    <x v="87"/>
    <x v="14"/>
    <x v="0"/>
    <n v="46.55"/>
    <n v="2.2599999999999998"/>
    <x v="2"/>
    <s v="DOMINIO"/>
    <x v="0"/>
    <m/>
    <m/>
    <n v="3301"/>
    <n v="2871.87"/>
    <n v="3230.8537499999998"/>
  </r>
  <r>
    <x v="0"/>
    <x v="0"/>
    <x v="5"/>
    <x v="88"/>
    <x v="14"/>
    <x v="0"/>
    <n v="47.06"/>
    <n v="2.2599999999999998"/>
    <x v="2"/>
    <s v="DOMINIO"/>
    <x v="0"/>
    <m/>
    <m/>
    <n v="3301"/>
    <n v="2871.87"/>
    <n v="3230.8537499999998"/>
  </r>
  <r>
    <x v="0"/>
    <x v="0"/>
    <x v="5"/>
    <x v="89"/>
    <x v="15"/>
    <x v="0"/>
    <n v="46.55"/>
    <n v="2.2599999999999998"/>
    <x v="2"/>
    <s v="DOMINIO"/>
    <x v="0"/>
    <m/>
    <m/>
    <n v="3307"/>
    <n v="2877.09"/>
    <n v="3236.7262500000002"/>
  </r>
  <r>
    <x v="0"/>
    <x v="0"/>
    <x v="5"/>
    <x v="90"/>
    <x v="15"/>
    <x v="0"/>
    <n v="47.06"/>
    <n v="2.2599999999999998"/>
    <x v="2"/>
    <s v="DOMINIO"/>
    <x v="0"/>
    <s v="B - 76"/>
    <m/>
    <n v="3307"/>
    <n v="2877.09"/>
    <n v="3236.7262500000002"/>
  </r>
  <r>
    <x v="0"/>
    <x v="0"/>
    <x v="5"/>
    <x v="91"/>
    <x v="16"/>
    <x v="0"/>
    <n v="46.55"/>
    <n v="2.2599999999999998"/>
    <x v="2"/>
    <s v="DOMINIO"/>
    <x v="0"/>
    <m/>
    <m/>
    <n v="3313"/>
    <n v="2882.31"/>
    <n v="3242.5987499999997"/>
  </r>
  <r>
    <x v="0"/>
    <x v="0"/>
    <x v="5"/>
    <x v="92"/>
    <x v="16"/>
    <x v="0"/>
    <n v="47.06"/>
    <n v="2.2599999999999998"/>
    <x v="2"/>
    <s v="DOMINIO"/>
    <x v="0"/>
    <m/>
    <m/>
    <n v="3313"/>
    <n v="2882.31"/>
    <n v="3242.5987499999997"/>
  </r>
  <r>
    <x v="0"/>
    <x v="0"/>
    <x v="5"/>
    <x v="93"/>
    <x v="17"/>
    <x v="0"/>
    <n v="46.55"/>
    <n v="2.2599999999999998"/>
    <x v="2"/>
    <s v="DOMINIO"/>
    <x v="0"/>
    <m/>
    <m/>
    <n v="3319"/>
    <n v="2887.53"/>
    <n v="3248.4712500000001"/>
  </r>
  <r>
    <x v="0"/>
    <x v="0"/>
    <x v="5"/>
    <x v="94"/>
    <x v="17"/>
    <x v="0"/>
    <n v="47.06"/>
    <n v="2.2599999999999998"/>
    <x v="2"/>
    <s v="DOMINIO"/>
    <x v="0"/>
    <s v="B - 78"/>
    <m/>
    <n v="3319"/>
    <n v="2887.53"/>
    <n v="3248.4712500000001"/>
  </r>
  <r>
    <x v="0"/>
    <x v="0"/>
    <x v="5"/>
    <x v="95"/>
    <x v="1"/>
    <x v="0"/>
    <n v="46.55"/>
    <n v="2.2599999999999998"/>
    <x v="2"/>
    <s v="DOMINIO"/>
    <x v="0"/>
    <m/>
    <m/>
    <n v="3325"/>
    <n v="2892.75"/>
    <n v="3254.3437499999995"/>
  </r>
  <r>
    <x v="0"/>
    <x v="0"/>
    <x v="5"/>
    <x v="96"/>
    <x v="1"/>
    <x v="0"/>
    <n v="47.06"/>
    <n v="2.2599999999999998"/>
    <x v="2"/>
    <s v="DOMINIO"/>
    <x v="0"/>
    <m/>
    <m/>
    <n v="3325"/>
    <n v="2892.75"/>
    <n v="3254.3437499999995"/>
  </r>
  <r>
    <x v="0"/>
    <x v="0"/>
    <x v="5"/>
    <x v="97"/>
    <x v="18"/>
    <x v="0"/>
    <n v="46.46"/>
    <n v="2.2599999999999998"/>
    <x v="2"/>
    <s v="DOMINIO"/>
    <x v="0"/>
    <m/>
    <m/>
    <n v="3331"/>
    <n v="2897.97"/>
    <n v="3260.2162499999995"/>
  </r>
  <r>
    <x v="0"/>
    <x v="0"/>
    <x v="5"/>
    <x v="98"/>
    <x v="18"/>
    <x v="0"/>
    <n v="47.06"/>
    <n v="2.2599999999999998"/>
    <x v="2"/>
    <s v="DOMINIO"/>
    <x v="0"/>
    <s v="B - 80"/>
    <m/>
    <n v="3331"/>
    <n v="2897.97"/>
    <n v="3260.2162499999995"/>
  </r>
  <r>
    <x v="0"/>
    <x v="0"/>
    <x v="5"/>
    <x v="99"/>
    <x v="2"/>
    <x v="0"/>
    <n v="46.55"/>
    <n v="2.2599999999999998"/>
    <x v="2"/>
    <s v="DOMINIO"/>
    <x v="0"/>
    <m/>
    <m/>
    <n v="3337"/>
    <n v="2903.19"/>
    <n v="3266.0887499999999"/>
  </r>
  <r>
    <x v="0"/>
    <x v="0"/>
    <x v="5"/>
    <x v="100"/>
    <x v="2"/>
    <x v="0"/>
    <n v="47.06"/>
    <n v="2.2599999999999998"/>
    <x v="2"/>
    <s v="DOMINIO"/>
    <x v="0"/>
    <m/>
    <m/>
    <n v="3337"/>
    <n v="2903.19"/>
    <n v="3266.0887499999999"/>
  </r>
  <r>
    <x v="0"/>
    <x v="0"/>
    <x v="5"/>
    <x v="101"/>
    <x v="19"/>
    <x v="0"/>
    <n v="46.55"/>
    <n v="2.2599999999999998"/>
    <x v="2"/>
    <s v="DOMINIO"/>
    <x v="0"/>
    <m/>
    <m/>
    <n v="3343"/>
    <n v="2908.41"/>
    <n v="3271.9612499999998"/>
  </r>
  <r>
    <x v="0"/>
    <x v="0"/>
    <x v="5"/>
    <x v="102"/>
    <x v="19"/>
    <x v="0"/>
    <n v="47.06"/>
    <n v="2.2599999999999998"/>
    <x v="2"/>
    <s v="DOMINIO"/>
    <x v="0"/>
    <s v="B - 82 A"/>
    <m/>
    <n v="3343"/>
    <n v="2908.41"/>
    <n v="3271.9612499999998"/>
  </r>
  <r>
    <x v="0"/>
    <x v="1"/>
    <x v="6"/>
    <x v="103"/>
    <x v="20"/>
    <x v="1"/>
    <n v="12.67"/>
    <n v="0"/>
    <x v="4"/>
    <s v="DOMINIO"/>
    <x v="0"/>
    <s v="E - 5"/>
    <m/>
    <n v="170"/>
    <n v="170"/>
    <n v="191.25"/>
  </r>
  <r>
    <x v="0"/>
    <x v="1"/>
    <x v="6"/>
    <x v="104"/>
    <x v="20"/>
    <x v="1"/>
    <n v="13.36"/>
    <n v="0"/>
    <x v="4"/>
    <s v="DOMINIO"/>
    <x v="0"/>
    <s v="E - 8"/>
    <m/>
    <n v="180"/>
    <n v="180"/>
    <n v="202.5"/>
  </r>
  <r>
    <x v="0"/>
    <x v="1"/>
    <x v="6"/>
    <x v="105"/>
    <x v="20"/>
    <x v="1"/>
    <n v="5.84"/>
    <n v="0"/>
    <x v="4"/>
    <s v="DOMINIO"/>
    <x v="0"/>
    <s v="E - 9"/>
    <m/>
    <n v="80"/>
    <n v="80"/>
    <n v="90"/>
  </r>
  <r>
    <x v="0"/>
    <x v="1"/>
    <x v="6"/>
    <x v="106"/>
    <x v="20"/>
    <x v="1"/>
    <n v="5.68"/>
    <n v="0"/>
    <x v="4"/>
    <s v="DOMINIO"/>
    <x v="0"/>
    <m/>
    <m/>
    <n v="80"/>
    <n v="80"/>
    <n v="90"/>
  </r>
  <r>
    <x v="0"/>
    <x v="1"/>
    <x v="6"/>
    <x v="107"/>
    <x v="20"/>
    <x v="1"/>
    <n v="7.48"/>
    <n v="0"/>
    <x v="4"/>
    <s v="DOMINIO"/>
    <x v="0"/>
    <m/>
    <m/>
    <n v="100"/>
    <n v="100"/>
    <n v="112.5"/>
  </r>
  <r>
    <x v="0"/>
    <x v="1"/>
    <x v="6"/>
    <x v="108"/>
    <x v="20"/>
    <x v="1"/>
    <n v="3.98"/>
    <n v="0"/>
    <x v="4"/>
    <s v="DOMINIO"/>
    <x v="0"/>
    <m/>
    <m/>
    <n v="70"/>
    <n v="70"/>
    <n v="78.75"/>
  </r>
  <r>
    <x v="0"/>
    <x v="1"/>
    <x v="6"/>
    <x v="109"/>
    <x v="20"/>
    <x v="1"/>
    <n v="3.98"/>
    <n v="0"/>
    <x v="4"/>
    <s v="DOMINIO"/>
    <x v="0"/>
    <m/>
    <m/>
    <n v="70"/>
    <n v="70"/>
    <n v="78.75"/>
  </r>
  <r>
    <x v="0"/>
    <x v="1"/>
    <x v="6"/>
    <x v="110"/>
    <x v="20"/>
    <x v="1"/>
    <n v="5.82"/>
    <n v="0"/>
    <x v="4"/>
    <s v="DOMINIO"/>
    <x v="0"/>
    <m/>
    <m/>
    <n v="80"/>
    <n v="80"/>
    <n v="90"/>
  </r>
  <r>
    <x v="0"/>
    <x v="1"/>
    <x v="6"/>
    <x v="111"/>
    <x v="20"/>
    <x v="1"/>
    <n v="8.7100000000000009"/>
    <n v="0"/>
    <x v="4"/>
    <s v="DOMINIO"/>
    <x v="0"/>
    <s v="E - 15"/>
    <m/>
    <n v="110"/>
    <n v="110"/>
    <n v="123.75"/>
  </r>
  <r>
    <x v="0"/>
    <x v="1"/>
    <x v="6"/>
    <x v="112"/>
    <x v="20"/>
    <x v="1"/>
    <n v="8.64"/>
    <n v="0"/>
    <x v="4"/>
    <s v="DOMINIO"/>
    <x v="0"/>
    <s v="E - 19"/>
    <m/>
    <n v="120"/>
    <n v="120"/>
    <n v="135"/>
  </r>
  <r>
    <x v="0"/>
    <x v="1"/>
    <x v="6"/>
    <x v="113"/>
    <x v="21"/>
    <x v="1"/>
    <n v="12.67"/>
    <n v="0"/>
    <x v="4"/>
    <s v="DOMINIO"/>
    <x v="0"/>
    <s v="E - 51"/>
    <m/>
    <n v="170"/>
    <n v="170"/>
    <n v="191.25"/>
  </r>
  <r>
    <x v="0"/>
    <x v="1"/>
    <x v="6"/>
    <x v="114"/>
    <x v="21"/>
    <x v="1"/>
    <n v="13.36"/>
    <n v="0"/>
    <x v="4"/>
    <s v="DOMINIO"/>
    <x v="0"/>
    <s v="E - 54"/>
    <m/>
    <n v="180"/>
    <n v="180"/>
    <n v="202.5"/>
  </r>
  <r>
    <x v="0"/>
    <x v="1"/>
    <x v="6"/>
    <x v="115"/>
    <x v="21"/>
    <x v="1"/>
    <n v="5.84"/>
    <n v="0"/>
    <x v="4"/>
    <s v="DOMINIO"/>
    <x v="0"/>
    <s v="E - 55"/>
    <m/>
    <n v="80"/>
    <n v="80"/>
    <n v="90"/>
  </r>
  <r>
    <x v="0"/>
    <x v="1"/>
    <x v="6"/>
    <x v="116"/>
    <x v="21"/>
    <x v="1"/>
    <n v="5.68"/>
    <n v="0"/>
    <x v="4"/>
    <s v="DOMINIO"/>
    <x v="0"/>
    <m/>
    <m/>
    <n v="80"/>
    <n v="80"/>
    <n v="90"/>
  </r>
  <r>
    <x v="0"/>
    <x v="1"/>
    <x v="6"/>
    <x v="117"/>
    <x v="21"/>
    <x v="1"/>
    <n v="8.52"/>
    <n v="0"/>
    <x v="4"/>
    <s v="DOMINIO"/>
    <x v="0"/>
    <m/>
    <m/>
    <n v="70"/>
    <n v="70"/>
    <n v="78.75"/>
  </r>
  <r>
    <x v="0"/>
    <x v="1"/>
    <x v="6"/>
    <x v="118"/>
    <x v="21"/>
    <x v="1"/>
    <n v="2.8"/>
    <n v="0"/>
    <x v="4"/>
    <s v="DOMINIO"/>
    <x v="0"/>
    <s v="E - 59"/>
    <m/>
    <n v="110"/>
    <n v="110"/>
    <n v="123.75"/>
  </r>
  <r>
    <x v="0"/>
    <x v="1"/>
    <x v="6"/>
    <x v="119"/>
    <x v="21"/>
    <x v="1"/>
    <n v="2.68"/>
    <n v="0"/>
    <x v="4"/>
    <s v="DOMINIO"/>
    <x v="0"/>
    <m/>
    <m/>
    <n v="130"/>
    <n v="130"/>
    <n v="146.25"/>
  </r>
  <r>
    <x v="0"/>
    <x v="1"/>
    <x v="6"/>
    <x v="120"/>
    <x v="21"/>
    <x v="1"/>
    <n v="3.98"/>
    <n v="0"/>
    <x v="4"/>
    <s v="DOMINIO"/>
    <x v="0"/>
    <m/>
    <m/>
    <n v="50"/>
    <n v="50"/>
    <n v="56.25"/>
  </r>
  <r>
    <x v="0"/>
    <x v="1"/>
    <x v="6"/>
    <x v="121"/>
    <x v="21"/>
    <x v="1"/>
    <n v="10.84"/>
    <n v="0"/>
    <x v="4"/>
    <s v="DOMINIO"/>
    <x v="0"/>
    <s v="E - 61"/>
    <m/>
    <n v="70"/>
    <n v="70"/>
    <n v="78.75"/>
  </r>
  <r>
    <x v="0"/>
    <x v="1"/>
    <x v="6"/>
    <x v="122"/>
    <x v="21"/>
    <x v="1"/>
    <n v="5.82"/>
    <n v="0"/>
    <x v="4"/>
    <s v="DOMINIO"/>
    <x v="0"/>
    <m/>
    <m/>
    <n v="70"/>
    <n v="70"/>
    <n v="78.75"/>
  </r>
  <r>
    <x v="0"/>
    <x v="1"/>
    <x v="6"/>
    <x v="123"/>
    <x v="21"/>
    <x v="1"/>
    <n v="8.7100000000000009"/>
    <n v="0"/>
    <x v="4"/>
    <s v="DOMINIO"/>
    <x v="0"/>
    <s v="E - 62"/>
    <m/>
    <n v="140"/>
    <n v="140"/>
    <n v="157.5"/>
  </r>
  <r>
    <x v="0"/>
    <x v="1"/>
    <x v="6"/>
    <x v="124"/>
    <x v="21"/>
    <x v="1"/>
    <n v="7.18"/>
    <n v="0"/>
    <x v="4"/>
    <s v="DOMINIO"/>
    <x v="0"/>
    <m/>
    <m/>
    <n v="110"/>
    <n v="110"/>
    <n v="123.75"/>
  </r>
  <r>
    <x v="0"/>
    <x v="1"/>
    <x v="6"/>
    <x v="125"/>
    <x v="21"/>
    <x v="1"/>
    <n v="9.68"/>
    <n v="0"/>
    <x v="4"/>
    <s v="DOMINIO"/>
    <x v="0"/>
    <m/>
    <m/>
    <n v="120"/>
    <n v="120"/>
    <n v="135"/>
  </r>
  <r>
    <x v="0"/>
    <x v="1"/>
    <x v="6"/>
    <x v="126"/>
    <x v="21"/>
    <x v="1"/>
    <n v="2.44"/>
    <n v="0"/>
    <x v="4"/>
    <s v="DOMINIO"/>
    <x v="0"/>
    <m/>
    <m/>
    <n v="90"/>
    <n v="90"/>
    <n v="101.25"/>
  </r>
  <r>
    <x v="0"/>
    <x v="1"/>
    <x v="6"/>
    <x v="127"/>
    <x v="21"/>
    <x v="1"/>
    <n v="1.65"/>
    <n v="0"/>
    <x v="4"/>
    <s v="DOMINIO"/>
    <x v="0"/>
    <m/>
    <m/>
    <n v="130"/>
    <n v="130"/>
    <n v="146.25"/>
  </r>
  <r>
    <x v="0"/>
    <x v="1"/>
    <x v="6"/>
    <x v="128"/>
    <x v="21"/>
    <x v="1"/>
    <n v="1.97"/>
    <n v="0"/>
    <x v="4"/>
    <s v="DOMINIO"/>
    <x v="0"/>
    <m/>
    <m/>
    <n v="30"/>
    <n v="30"/>
    <n v="33.75"/>
  </r>
  <r>
    <x v="0"/>
    <x v="1"/>
    <x v="6"/>
    <x v="129"/>
    <x v="22"/>
    <x v="1"/>
    <n v="12.67"/>
    <n v="0"/>
    <x v="4"/>
    <s v="DOMINIO"/>
    <x v="0"/>
    <s v="E - 102"/>
    <m/>
    <n v="60"/>
    <n v="60"/>
    <n v="67.5"/>
  </r>
  <r>
    <x v="0"/>
    <x v="1"/>
    <x v="6"/>
    <x v="130"/>
    <x v="22"/>
    <x v="1"/>
    <n v="13.36"/>
    <n v="0"/>
    <x v="4"/>
    <s v="DOMINIO"/>
    <x v="0"/>
    <s v="E - 105"/>
    <m/>
    <n v="30"/>
    <n v="30"/>
    <n v="33.75"/>
  </r>
  <r>
    <x v="0"/>
    <x v="1"/>
    <x v="6"/>
    <x v="131"/>
    <x v="22"/>
    <x v="1"/>
    <n v="5.84"/>
    <n v="0"/>
    <x v="4"/>
    <s v="DOMINIO"/>
    <x v="0"/>
    <s v="E - 106"/>
    <m/>
    <n v="170"/>
    <n v="170"/>
    <n v="191.25"/>
  </r>
  <r>
    <x v="0"/>
    <x v="1"/>
    <x v="6"/>
    <x v="132"/>
    <x v="22"/>
    <x v="1"/>
    <n v="5.68"/>
    <n v="0"/>
    <x v="4"/>
    <s v="DOMINIO"/>
    <x v="0"/>
    <m/>
    <m/>
    <n v="180"/>
    <n v="180"/>
    <n v="202.5"/>
  </r>
  <r>
    <x v="0"/>
    <x v="1"/>
    <x v="6"/>
    <x v="133"/>
    <x v="22"/>
    <x v="1"/>
    <n v="3.43"/>
    <n v="0"/>
    <x v="4"/>
    <s v="DOMINIO"/>
    <x v="0"/>
    <m/>
    <m/>
    <n v="80"/>
    <n v="80"/>
    <n v="90"/>
  </r>
  <r>
    <x v="0"/>
    <x v="1"/>
    <x v="6"/>
    <x v="134"/>
    <x v="22"/>
    <x v="1"/>
    <n v="9.08"/>
    <n v="0"/>
    <x v="4"/>
    <s v="DOMINIO"/>
    <x v="0"/>
    <m/>
    <m/>
    <n v="80"/>
    <n v="80"/>
    <n v="90"/>
  </r>
  <r>
    <x v="0"/>
    <x v="1"/>
    <x v="6"/>
    <x v="135"/>
    <x v="22"/>
    <x v="1"/>
    <n v="4.5999999999999996"/>
    <n v="0"/>
    <x v="4"/>
    <s v="DOMINIO"/>
    <x v="0"/>
    <m/>
    <m/>
    <n v="140"/>
    <n v="140"/>
    <n v="157.5"/>
  </r>
  <r>
    <x v="0"/>
    <x v="1"/>
    <x v="6"/>
    <x v="136"/>
    <x v="22"/>
    <x v="1"/>
    <n v="9.4499999999999993"/>
    <n v="0"/>
    <x v="4"/>
    <s v="DOMINIO"/>
    <x v="0"/>
    <m/>
    <m/>
    <n v="130"/>
    <n v="130"/>
    <n v="146.25"/>
  </r>
  <r>
    <x v="0"/>
    <x v="1"/>
    <x v="6"/>
    <x v="137"/>
    <x v="22"/>
    <x v="1"/>
    <n v="9.5399999999999991"/>
    <n v="0"/>
    <x v="4"/>
    <s v="DOMINIO"/>
    <x v="0"/>
    <s v="E - 109"/>
    <m/>
    <n v="50"/>
    <n v="50"/>
    <n v="56.25"/>
  </r>
  <r>
    <x v="0"/>
    <x v="1"/>
    <x v="6"/>
    <x v="138"/>
    <x v="22"/>
    <x v="1"/>
    <n v="2.8"/>
    <n v="0"/>
    <x v="4"/>
    <s v="DOMINIO"/>
    <x v="0"/>
    <s v="E - 110"/>
    <m/>
    <n v="40"/>
    <n v="40"/>
    <n v="45"/>
  </r>
  <r>
    <x v="0"/>
    <x v="1"/>
    <x v="6"/>
    <x v="139"/>
    <x v="22"/>
    <x v="1"/>
    <n v="2.68"/>
    <n v="0"/>
    <x v="4"/>
    <s v="DOMINIO"/>
    <x v="0"/>
    <m/>
    <m/>
    <n v="70"/>
    <n v="70"/>
    <n v="78.75"/>
  </r>
  <r>
    <x v="0"/>
    <x v="1"/>
    <x v="6"/>
    <x v="140"/>
    <x v="22"/>
    <x v="1"/>
    <n v="3.98"/>
    <n v="0"/>
    <x v="4"/>
    <s v="DOMINIO"/>
    <x v="0"/>
    <m/>
    <m/>
    <n v="70"/>
    <n v="70"/>
    <n v="78.75"/>
  </r>
  <r>
    <x v="0"/>
    <x v="1"/>
    <x v="6"/>
    <x v="141"/>
    <x v="22"/>
    <x v="1"/>
    <n v="4.17"/>
    <n v="0"/>
    <x v="4"/>
    <s v="DOMINIO"/>
    <x v="0"/>
    <s v="E - 111"/>
    <m/>
    <n v="140"/>
    <n v="140"/>
    <n v="157.5"/>
  </r>
  <r>
    <x v="0"/>
    <x v="1"/>
    <x v="6"/>
    <x v="142"/>
    <x v="22"/>
    <x v="1"/>
    <n v="10.84"/>
    <n v="0"/>
    <x v="4"/>
    <s v="DOMINIO"/>
    <x v="0"/>
    <s v="E - 112"/>
    <m/>
    <n v="80"/>
    <n v="80"/>
    <n v="90"/>
  </r>
  <r>
    <x v="0"/>
    <x v="1"/>
    <x v="6"/>
    <x v="143"/>
    <x v="22"/>
    <x v="1"/>
    <n v="5.98"/>
    <n v="0"/>
    <x v="4"/>
    <s v="DOMINIO"/>
    <x v="0"/>
    <m/>
    <m/>
    <n v="110"/>
    <n v="110"/>
    <n v="123.75"/>
  </r>
  <r>
    <x v="0"/>
    <x v="1"/>
    <x v="6"/>
    <x v="144"/>
    <x v="22"/>
    <x v="1"/>
    <n v="8.7100000000000009"/>
    <n v="0"/>
    <x v="4"/>
    <s v="DOMINIO"/>
    <x v="0"/>
    <s v="E - 113"/>
    <m/>
    <n v="120"/>
    <n v="120"/>
    <n v="135"/>
  </r>
  <r>
    <x v="0"/>
    <x v="1"/>
    <x v="6"/>
    <x v="145"/>
    <x v="22"/>
    <x v="1"/>
    <n v="8.64"/>
    <n v="0"/>
    <x v="4"/>
    <s v="DOMINIO"/>
    <x v="0"/>
    <s v="E - 117"/>
    <m/>
    <n v="90"/>
    <n v="90"/>
    <n v="101.25"/>
  </r>
  <r>
    <x v="0"/>
    <x v="1"/>
    <x v="6"/>
    <x v="146"/>
    <x v="22"/>
    <x v="1"/>
    <n v="7.18"/>
    <n v="0"/>
    <x v="4"/>
    <s v="DOMINIO"/>
    <x v="0"/>
    <m/>
    <m/>
    <n v="130"/>
    <n v="130"/>
    <n v="146.25"/>
  </r>
  <r>
    <x v="0"/>
    <x v="1"/>
    <x v="6"/>
    <x v="147"/>
    <x v="6"/>
    <x v="1"/>
    <n v="2.0699999999999998"/>
    <n v="0"/>
    <x v="4"/>
    <s v="DOMINIO"/>
    <x v="0"/>
    <m/>
    <m/>
    <n v="40"/>
    <n v="40"/>
    <n v="45"/>
  </r>
  <r>
    <x v="0"/>
    <x v="1"/>
    <x v="6"/>
    <x v="148"/>
    <x v="6"/>
    <x v="1"/>
    <n v="2.12"/>
    <n v="0"/>
    <x v="4"/>
    <s v="DOMINIO"/>
    <x v="0"/>
    <m/>
    <m/>
    <n v="140"/>
    <n v="140"/>
    <n v="157.5"/>
  </r>
  <r>
    <x v="0"/>
    <x v="1"/>
    <x v="6"/>
    <x v="149"/>
    <x v="6"/>
    <x v="1"/>
    <n v="10.39"/>
    <n v="0"/>
    <x v="4"/>
    <s v="DOMINIO"/>
    <x v="0"/>
    <s v="D - 103 A"/>
    <m/>
    <n v="130"/>
    <n v="130"/>
    <n v="146.25"/>
  </r>
  <r>
    <x v="0"/>
    <x v="1"/>
    <x v="6"/>
    <x v="150"/>
    <x v="0"/>
    <x v="1"/>
    <n v="9.67"/>
    <n v="0"/>
    <x v="4"/>
    <s v="DOMINIO"/>
    <x v="0"/>
    <s v="B - 66"/>
    <m/>
    <n v="130"/>
    <n v="130"/>
    <n v="146.25"/>
  </r>
  <r>
    <x v="0"/>
    <x v="1"/>
    <x v="6"/>
    <x v="151"/>
    <x v="8"/>
    <x v="1"/>
    <n v="7.51"/>
    <n v="0"/>
    <x v="4"/>
    <s v="DOMINIO"/>
    <x v="0"/>
    <s v="D - 602 A"/>
    <m/>
    <n v="100"/>
    <n v="100"/>
    <n v="112.5"/>
  </r>
  <r>
    <x v="0"/>
    <x v="1"/>
    <x v="6"/>
    <x v="152"/>
    <x v="9"/>
    <x v="1"/>
    <n v="7.51"/>
    <n v="0"/>
    <x v="4"/>
    <s v="DOMINIO"/>
    <x v="0"/>
    <s v="D - 705 A"/>
    <m/>
    <n v="100"/>
    <n v="100"/>
    <n v="112.5"/>
  </r>
  <r>
    <x v="0"/>
    <x v="1"/>
    <x v="6"/>
    <x v="153"/>
    <x v="5"/>
    <x v="1"/>
    <n v="7.51"/>
    <n v="0"/>
    <x v="4"/>
    <s v="DOMINIO"/>
    <x v="0"/>
    <s v="D - 802 A"/>
    <m/>
    <n v="100"/>
    <n v="100"/>
    <n v="112.5"/>
  </r>
  <r>
    <x v="0"/>
    <x v="1"/>
    <x v="6"/>
    <x v="154"/>
    <x v="10"/>
    <x v="1"/>
    <n v="7.51"/>
    <n v="0"/>
    <x v="4"/>
    <s v="DOMINIO"/>
    <x v="0"/>
    <s v="D - 905 A"/>
    <m/>
    <n v="100"/>
    <n v="100"/>
    <n v="112.5"/>
  </r>
  <r>
    <x v="0"/>
    <x v="1"/>
    <x v="6"/>
    <x v="155"/>
    <x v="11"/>
    <x v="1"/>
    <n v="7.51"/>
    <n v="0"/>
    <x v="4"/>
    <s v="DOMINIO"/>
    <x v="0"/>
    <s v="D - 1002 A"/>
    <m/>
    <n v="100"/>
    <n v="100"/>
    <n v="112.5"/>
  </r>
  <r>
    <x v="0"/>
    <x v="1"/>
    <x v="6"/>
    <x v="156"/>
    <x v="13"/>
    <x v="1"/>
    <n v="7.51"/>
    <n v="0"/>
    <x v="4"/>
    <s v="DOMINIO"/>
    <x v="0"/>
    <s v="D - 1202 A"/>
    <m/>
    <n v="100"/>
    <n v="100"/>
    <n v="112.5"/>
  </r>
  <r>
    <x v="0"/>
    <x v="1"/>
    <x v="6"/>
    <x v="157"/>
    <x v="14"/>
    <x v="1"/>
    <n v="7.51"/>
    <n v="0"/>
    <x v="4"/>
    <s v="DOMINIO"/>
    <x v="0"/>
    <s v="D - 1305 A"/>
    <m/>
    <n v="100"/>
    <n v="100"/>
    <n v="112.5"/>
  </r>
  <r>
    <x v="0"/>
    <x v="1"/>
    <x v="6"/>
    <x v="158"/>
    <x v="15"/>
    <x v="1"/>
    <n v="7.51"/>
    <n v="0"/>
    <x v="4"/>
    <s v="DOMINIO"/>
    <x v="0"/>
    <s v="D - 1402 A"/>
    <m/>
    <n v="100"/>
    <n v="100"/>
    <n v="112.5"/>
  </r>
  <r>
    <x v="0"/>
    <x v="1"/>
    <x v="6"/>
    <x v="159"/>
    <x v="16"/>
    <x v="1"/>
    <n v="7.51"/>
    <n v="0"/>
    <x v="4"/>
    <s v="DOMINIO"/>
    <x v="0"/>
    <s v="D - 1505 A"/>
    <m/>
    <n v="100"/>
    <n v="100"/>
    <n v="112.5"/>
  </r>
  <r>
    <x v="0"/>
    <x v="1"/>
    <x v="6"/>
    <x v="160"/>
    <x v="17"/>
    <x v="1"/>
    <n v="7.51"/>
    <n v="0"/>
    <x v="4"/>
    <s v="DOMINIO"/>
    <x v="0"/>
    <s v="D - 1602 A"/>
    <m/>
    <n v="100"/>
    <n v="100"/>
    <n v="112.5"/>
  </r>
  <r>
    <x v="0"/>
    <x v="1"/>
    <x v="6"/>
    <x v="161"/>
    <x v="1"/>
    <x v="1"/>
    <n v="7.51"/>
    <n v="0"/>
    <x v="4"/>
    <s v="DOMINIO"/>
    <x v="0"/>
    <s v="D - 1705 A"/>
    <m/>
    <n v="100"/>
    <n v="100"/>
    <n v="112.5"/>
  </r>
  <r>
    <x v="0"/>
    <x v="1"/>
    <x v="6"/>
    <x v="162"/>
    <x v="18"/>
    <x v="1"/>
    <n v="7.51"/>
    <n v="0"/>
    <x v="4"/>
    <s v="DOMINIO"/>
    <x v="0"/>
    <s v="D - 1802 A"/>
    <m/>
    <n v="100"/>
    <n v="100"/>
    <n v="112.5"/>
  </r>
  <r>
    <x v="0"/>
    <x v="1"/>
    <x v="6"/>
    <x v="163"/>
    <x v="2"/>
    <x v="1"/>
    <n v="7.51"/>
    <n v="0"/>
    <x v="4"/>
    <s v="DOMINIO"/>
    <x v="0"/>
    <s v="D - 1905 A"/>
    <m/>
    <n v="100"/>
    <n v="100"/>
    <n v="112.5"/>
  </r>
  <r>
    <x v="0"/>
    <x v="1"/>
    <x v="6"/>
    <x v="164"/>
    <x v="19"/>
    <x v="0"/>
    <n v="7.51"/>
    <n v="0"/>
    <x v="4"/>
    <s v="DOMINIO"/>
    <x v="0"/>
    <s v="D - 2002 A"/>
    <m/>
    <n v="100"/>
    <n v="100"/>
    <n v="112.5"/>
  </r>
  <r>
    <x v="0"/>
    <x v="2"/>
    <x v="7"/>
    <x v="103"/>
    <x v="20"/>
    <x v="1"/>
    <n v="12.5"/>
    <n v="0"/>
    <x v="4"/>
    <s v="DOMINIO"/>
    <x v="0"/>
    <m/>
    <m/>
    <n v="350"/>
    <n v="350"/>
    <n v="393.75"/>
  </r>
  <r>
    <x v="0"/>
    <x v="2"/>
    <x v="7"/>
    <x v="104"/>
    <x v="20"/>
    <x v="1"/>
    <n v="12.5"/>
    <n v="0"/>
    <x v="4"/>
    <s v="DOMINIO"/>
    <x v="0"/>
    <m/>
    <m/>
    <n v="350"/>
    <n v="350"/>
    <n v="393.75"/>
  </r>
  <r>
    <x v="0"/>
    <x v="2"/>
    <x v="7"/>
    <x v="107"/>
    <x v="20"/>
    <x v="1"/>
    <n v="12.5"/>
    <n v="0"/>
    <x v="4"/>
    <s v="DOMINIO"/>
    <x v="0"/>
    <s v="B - 1"/>
    <m/>
    <n v="350"/>
    <n v="350"/>
    <n v="393.75"/>
  </r>
  <r>
    <x v="0"/>
    <x v="2"/>
    <x v="7"/>
    <x v="108"/>
    <x v="20"/>
    <x v="1"/>
    <n v="12.5"/>
    <n v="0"/>
    <x v="4"/>
    <s v="DOMINIO"/>
    <x v="0"/>
    <m/>
    <m/>
    <n v="350"/>
    <n v="350"/>
    <n v="393.75"/>
  </r>
  <r>
    <x v="0"/>
    <x v="2"/>
    <x v="7"/>
    <x v="109"/>
    <x v="20"/>
    <x v="1"/>
    <n v="12.5"/>
    <n v="0"/>
    <x v="4"/>
    <s v="DOMINIO"/>
    <x v="0"/>
    <s v="B - 2"/>
    <m/>
    <n v="350"/>
    <n v="350"/>
    <n v="393.75"/>
  </r>
  <r>
    <x v="0"/>
    <x v="2"/>
    <x v="7"/>
    <x v="165"/>
    <x v="20"/>
    <x v="1"/>
    <n v="12.5"/>
    <n v="0"/>
    <x v="4"/>
    <s v="DOMINIO"/>
    <x v="0"/>
    <s v="B - 3"/>
    <m/>
    <n v="350"/>
    <n v="350"/>
    <n v="393.75"/>
  </r>
  <r>
    <x v="0"/>
    <x v="2"/>
    <x v="7"/>
    <x v="110"/>
    <x v="20"/>
    <x v="1"/>
    <n v="12.5"/>
    <n v="0"/>
    <x v="4"/>
    <s v="DOMINIO"/>
    <x v="0"/>
    <m/>
    <m/>
    <n v="350"/>
    <n v="350"/>
    <n v="393.75"/>
  </r>
  <r>
    <x v="0"/>
    <x v="2"/>
    <x v="7"/>
    <x v="114"/>
    <x v="20"/>
    <x v="1"/>
    <n v="12.5"/>
    <n v="0"/>
    <x v="4"/>
    <s v="DOMINIO"/>
    <x v="0"/>
    <s v="B - 12"/>
    <m/>
    <n v="350"/>
    <n v="350"/>
    <n v="393.75"/>
  </r>
  <r>
    <x v="0"/>
    <x v="2"/>
    <x v="7"/>
    <x v="116"/>
    <x v="20"/>
    <x v="1"/>
    <n v="12.5"/>
    <n v="0"/>
    <x v="4"/>
    <s v="DOMINIO"/>
    <x v="0"/>
    <m/>
    <m/>
    <n v="350"/>
    <n v="350"/>
    <n v="393.75"/>
  </r>
  <r>
    <x v="0"/>
    <x v="2"/>
    <x v="7"/>
    <x v="166"/>
    <x v="20"/>
    <x v="1"/>
    <n v="12.5"/>
    <n v="0"/>
    <x v="4"/>
    <s v="DOMINIO"/>
    <x v="0"/>
    <s v="B - 13"/>
    <m/>
    <n v="350"/>
    <n v="350"/>
    <n v="393.75"/>
  </r>
  <r>
    <x v="0"/>
    <x v="2"/>
    <x v="7"/>
    <x v="118"/>
    <x v="20"/>
    <x v="1"/>
    <n v="12.5"/>
    <n v="0"/>
    <x v="4"/>
    <s v="DOMINIO"/>
    <x v="0"/>
    <m/>
    <m/>
    <n v="350"/>
    <n v="350"/>
    <n v="393.75"/>
  </r>
  <r>
    <x v="0"/>
    <x v="2"/>
    <x v="7"/>
    <x v="122"/>
    <x v="20"/>
    <x v="1"/>
    <n v="12.5"/>
    <n v="0"/>
    <x v="4"/>
    <s v="DOMINIO"/>
    <x v="0"/>
    <m/>
    <m/>
    <n v="350"/>
    <n v="350"/>
    <n v="393.75"/>
  </r>
  <r>
    <x v="0"/>
    <x v="2"/>
    <x v="7"/>
    <x v="167"/>
    <x v="20"/>
    <x v="1"/>
    <n v="12.5"/>
    <n v="0"/>
    <x v="4"/>
    <s v="DOMINIO"/>
    <x v="0"/>
    <m/>
    <m/>
    <n v="350"/>
    <n v="350"/>
    <n v="393.75"/>
  </r>
  <r>
    <x v="0"/>
    <x v="2"/>
    <x v="7"/>
    <x v="124"/>
    <x v="20"/>
    <x v="1"/>
    <n v="12.5"/>
    <n v="0"/>
    <x v="4"/>
    <s v="DOMINIO"/>
    <x v="0"/>
    <m/>
    <m/>
    <n v="350"/>
    <n v="350"/>
    <n v="393.75"/>
  </r>
  <r>
    <x v="0"/>
    <x v="2"/>
    <x v="7"/>
    <x v="125"/>
    <x v="20"/>
    <x v="1"/>
    <n v="12.5"/>
    <n v="0"/>
    <x v="4"/>
    <s v="DOMINIO"/>
    <x v="0"/>
    <m/>
    <m/>
    <n v="350"/>
    <n v="350"/>
    <n v="393.75"/>
  </r>
  <r>
    <x v="0"/>
    <x v="2"/>
    <x v="7"/>
    <x v="134"/>
    <x v="20"/>
    <x v="1"/>
    <n v="12.5"/>
    <n v="0"/>
    <x v="4"/>
    <s v="DOMINIO"/>
    <x v="0"/>
    <m/>
    <m/>
    <n v="350"/>
    <n v="350"/>
    <n v="393.75"/>
  </r>
  <r>
    <x v="0"/>
    <x v="2"/>
    <x v="7"/>
    <x v="135"/>
    <x v="21"/>
    <x v="1"/>
    <n v="12.5"/>
    <n v="0"/>
    <x v="4"/>
    <s v="DOMINIO"/>
    <x v="0"/>
    <m/>
    <m/>
    <n v="350"/>
    <n v="350"/>
    <n v="393.75"/>
  </r>
  <r>
    <x v="0"/>
    <x v="2"/>
    <x v="7"/>
    <x v="136"/>
    <x v="21"/>
    <x v="1"/>
    <n v="12.5"/>
    <n v="0"/>
    <x v="4"/>
    <s v="DOMINIO"/>
    <x v="0"/>
    <m/>
    <m/>
    <n v="350"/>
    <n v="350"/>
    <n v="393.75"/>
  </r>
  <r>
    <x v="0"/>
    <x v="2"/>
    <x v="7"/>
    <x v="137"/>
    <x v="21"/>
    <x v="1"/>
    <n v="12.5"/>
    <n v="0"/>
    <x v="4"/>
    <s v="DOMINIO"/>
    <x v="0"/>
    <m/>
    <m/>
    <n v="350"/>
    <n v="350"/>
    <n v="393.75"/>
  </r>
  <r>
    <x v="0"/>
    <x v="2"/>
    <x v="7"/>
    <x v="138"/>
    <x v="21"/>
    <x v="1"/>
    <n v="12.5"/>
    <n v="0"/>
    <x v="4"/>
    <s v="DOMINIO"/>
    <x v="0"/>
    <m/>
    <m/>
    <n v="350"/>
    <n v="350"/>
    <n v="393.75"/>
  </r>
  <r>
    <x v="0"/>
    <x v="2"/>
    <x v="7"/>
    <x v="139"/>
    <x v="21"/>
    <x v="1"/>
    <n v="12.5"/>
    <n v="0"/>
    <x v="4"/>
    <s v="DOMINIO"/>
    <x v="0"/>
    <m/>
    <m/>
    <n v="350"/>
    <n v="350"/>
    <n v="393.75"/>
  </r>
  <r>
    <x v="0"/>
    <x v="2"/>
    <x v="7"/>
    <x v="140"/>
    <x v="21"/>
    <x v="1"/>
    <n v="12.5"/>
    <n v="0"/>
    <x v="4"/>
    <s v="DOMINIO"/>
    <x v="0"/>
    <m/>
    <m/>
    <n v="350"/>
    <n v="350"/>
    <n v="393.75"/>
  </r>
  <r>
    <x v="0"/>
    <x v="2"/>
    <x v="7"/>
    <x v="141"/>
    <x v="21"/>
    <x v="1"/>
    <n v="12.5"/>
    <n v="0"/>
    <x v="4"/>
    <s v="DOMINIO"/>
    <x v="0"/>
    <m/>
    <m/>
    <n v="350"/>
    <n v="350"/>
    <n v="393.75"/>
  </r>
  <r>
    <x v="0"/>
    <x v="2"/>
    <x v="7"/>
    <x v="142"/>
    <x v="21"/>
    <x v="1"/>
    <n v="12.5"/>
    <n v="0"/>
    <x v="4"/>
    <s v="DOMINIO"/>
    <x v="0"/>
    <m/>
    <m/>
    <n v="350"/>
    <n v="350"/>
    <n v="393.75"/>
  </r>
  <r>
    <x v="0"/>
    <x v="2"/>
    <x v="7"/>
    <x v="143"/>
    <x v="21"/>
    <x v="1"/>
    <n v="12.5"/>
    <n v="0"/>
    <x v="4"/>
    <s v="DOMINIO"/>
    <x v="0"/>
    <m/>
    <m/>
    <n v="350"/>
    <n v="350"/>
    <n v="393.75"/>
  </r>
  <r>
    <x v="0"/>
    <x v="2"/>
    <x v="7"/>
    <x v="144"/>
    <x v="21"/>
    <x v="1"/>
    <n v="12.5"/>
    <n v="0"/>
    <x v="4"/>
    <s v="DOMINIO"/>
    <x v="0"/>
    <m/>
    <m/>
    <n v="350"/>
    <n v="350"/>
    <n v="393.75"/>
  </r>
  <r>
    <x v="0"/>
    <x v="2"/>
    <x v="7"/>
    <x v="145"/>
    <x v="21"/>
    <x v="1"/>
    <n v="12.5"/>
    <n v="0"/>
    <x v="4"/>
    <s v="DOMINIO"/>
    <x v="0"/>
    <m/>
    <m/>
    <n v="350"/>
    <n v="350"/>
    <n v="393.75"/>
  </r>
  <r>
    <x v="0"/>
    <x v="2"/>
    <x v="7"/>
    <x v="146"/>
    <x v="21"/>
    <x v="1"/>
    <n v="12.5"/>
    <n v="0"/>
    <x v="4"/>
    <s v="DOMINIO"/>
    <x v="0"/>
    <s v="B - 14"/>
    <m/>
    <n v="350"/>
    <n v="350"/>
    <n v="393.75"/>
  </r>
  <r>
    <x v="0"/>
    <x v="2"/>
    <x v="7"/>
    <x v="168"/>
    <x v="21"/>
    <x v="1"/>
    <n v="12.5"/>
    <n v="0"/>
    <x v="4"/>
    <s v="DOMINIO"/>
    <x v="0"/>
    <m/>
    <m/>
    <n v="350"/>
    <n v="350"/>
    <n v="393.75"/>
  </r>
  <r>
    <x v="0"/>
    <x v="2"/>
    <x v="7"/>
    <x v="169"/>
    <x v="21"/>
    <x v="1"/>
    <n v="12.5"/>
    <n v="0"/>
    <x v="4"/>
    <s v="DOMINIO"/>
    <x v="0"/>
    <s v="B - 15"/>
    <m/>
    <n v="350"/>
    <n v="350"/>
    <n v="393.75"/>
  </r>
  <r>
    <x v="0"/>
    <x v="2"/>
    <x v="7"/>
    <x v="170"/>
    <x v="21"/>
    <x v="1"/>
    <n v="12.5"/>
    <n v="0"/>
    <x v="4"/>
    <s v="DOMINIO"/>
    <x v="0"/>
    <s v="B - 16"/>
    <m/>
    <n v="350"/>
    <n v="350"/>
    <n v="393.75"/>
  </r>
  <r>
    <x v="0"/>
    <x v="2"/>
    <x v="7"/>
    <x v="171"/>
    <x v="21"/>
    <x v="1"/>
    <n v="12.5"/>
    <n v="0"/>
    <x v="4"/>
    <s v="DOMINIO"/>
    <x v="0"/>
    <m/>
    <m/>
    <n v="350"/>
    <n v="350"/>
    <n v="393.75"/>
  </r>
  <r>
    <x v="0"/>
    <x v="2"/>
    <x v="7"/>
    <x v="172"/>
    <x v="21"/>
    <x v="1"/>
    <n v="12.5"/>
    <n v="0"/>
    <x v="4"/>
    <s v="DOMINIO"/>
    <x v="0"/>
    <s v="B - 20"/>
    <m/>
    <n v="350"/>
    <n v="350"/>
    <n v="393.75"/>
  </r>
  <r>
    <x v="0"/>
    <x v="2"/>
    <x v="7"/>
    <x v="173"/>
    <x v="21"/>
    <x v="1"/>
    <n v="12.5"/>
    <n v="0"/>
    <x v="4"/>
    <s v="DOMINIO"/>
    <x v="0"/>
    <s v="B - 24"/>
    <m/>
    <n v="350"/>
    <n v="350"/>
    <n v="393.75"/>
  </r>
  <r>
    <x v="0"/>
    <x v="2"/>
    <x v="7"/>
    <x v="174"/>
    <x v="21"/>
    <x v="1"/>
    <n v="12.5"/>
    <n v="0"/>
    <x v="4"/>
    <s v="DOMINIO"/>
    <x v="0"/>
    <s v="B - 26"/>
    <m/>
    <n v="350"/>
    <n v="350"/>
    <n v="393.75"/>
  </r>
  <r>
    <x v="0"/>
    <x v="2"/>
    <x v="7"/>
    <x v="175"/>
    <x v="21"/>
    <x v="1"/>
    <n v="12.5"/>
    <n v="0"/>
    <x v="4"/>
    <s v="DOMINIO"/>
    <x v="0"/>
    <m/>
    <m/>
    <n v="350"/>
    <n v="350"/>
    <n v="393.75"/>
  </r>
  <r>
    <x v="0"/>
    <x v="2"/>
    <x v="7"/>
    <x v="176"/>
    <x v="21"/>
    <x v="1"/>
    <n v="12.5"/>
    <n v="0"/>
    <x v="4"/>
    <s v="DOMINIO"/>
    <x v="0"/>
    <m/>
    <m/>
    <n v="350"/>
    <n v="350"/>
    <n v="393.75"/>
  </r>
  <r>
    <x v="0"/>
    <x v="2"/>
    <x v="7"/>
    <x v="151"/>
    <x v="21"/>
    <x v="1"/>
    <n v="12.5"/>
    <n v="0"/>
    <x v="4"/>
    <s v="DOMINIO"/>
    <x v="0"/>
    <m/>
    <m/>
    <n v="350"/>
    <n v="350"/>
    <n v="393.75"/>
  </r>
  <r>
    <x v="0"/>
    <x v="2"/>
    <x v="7"/>
    <x v="152"/>
    <x v="21"/>
    <x v="1"/>
    <n v="12.5"/>
    <n v="0"/>
    <x v="4"/>
    <s v="DOMINIO"/>
    <x v="0"/>
    <m/>
    <m/>
    <n v="350"/>
    <n v="350"/>
    <n v="393.75"/>
  </r>
  <r>
    <x v="0"/>
    <x v="2"/>
    <x v="7"/>
    <x v="153"/>
    <x v="21"/>
    <x v="1"/>
    <n v="12.5"/>
    <n v="0"/>
    <x v="4"/>
    <s v="DOMINIO"/>
    <x v="0"/>
    <m/>
    <m/>
    <n v="350"/>
    <n v="350"/>
    <n v="393.75"/>
  </r>
  <r>
    <x v="0"/>
    <x v="2"/>
    <x v="7"/>
    <x v="154"/>
    <x v="21"/>
    <x v="1"/>
    <n v="12.5"/>
    <n v="0"/>
    <x v="4"/>
    <s v="DOMINIO"/>
    <x v="0"/>
    <m/>
    <m/>
    <n v="350"/>
    <n v="350"/>
    <n v="393.75"/>
  </r>
  <r>
    <x v="0"/>
    <x v="2"/>
    <x v="7"/>
    <x v="177"/>
    <x v="21"/>
    <x v="1"/>
    <n v="12.5"/>
    <n v="0"/>
    <x v="4"/>
    <s v="DOMINIO"/>
    <x v="0"/>
    <m/>
    <m/>
    <n v="350"/>
    <n v="350"/>
    <n v="393.75"/>
  </r>
  <r>
    <x v="0"/>
    <x v="2"/>
    <x v="7"/>
    <x v="156"/>
    <x v="21"/>
    <x v="1"/>
    <n v="12.5"/>
    <n v="0"/>
    <x v="4"/>
    <s v="DOMINIO"/>
    <x v="0"/>
    <m/>
    <m/>
    <n v="350"/>
    <n v="350"/>
    <n v="393.75"/>
  </r>
  <r>
    <x v="0"/>
    <x v="2"/>
    <x v="7"/>
    <x v="157"/>
    <x v="21"/>
    <x v="1"/>
    <n v="12.5"/>
    <n v="0"/>
    <x v="4"/>
    <s v="DOMINIO"/>
    <x v="0"/>
    <m/>
    <m/>
    <n v="350"/>
    <n v="350"/>
    <n v="393.75"/>
  </r>
  <r>
    <x v="0"/>
    <x v="2"/>
    <x v="7"/>
    <x v="158"/>
    <x v="21"/>
    <x v="1"/>
    <n v="12.5"/>
    <n v="0"/>
    <x v="4"/>
    <s v="DOMINIO"/>
    <x v="0"/>
    <m/>
    <m/>
    <n v="350"/>
    <n v="350"/>
    <n v="393.75"/>
  </r>
  <r>
    <x v="0"/>
    <x v="2"/>
    <x v="7"/>
    <x v="159"/>
    <x v="21"/>
    <x v="1"/>
    <n v="12.5"/>
    <n v="0"/>
    <x v="4"/>
    <s v="DOMINIO"/>
    <x v="0"/>
    <m/>
    <m/>
    <n v="350"/>
    <n v="350"/>
    <n v="393.75"/>
  </r>
  <r>
    <x v="0"/>
    <x v="2"/>
    <x v="7"/>
    <x v="160"/>
    <x v="21"/>
    <x v="1"/>
    <n v="12.5"/>
    <n v="0"/>
    <x v="4"/>
    <s v="DOMINIO"/>
    <x v="0"/>
    <m/>
    <m/>
    <n v="350"/>
    <n v="350"/>
    <n v="393.75"/>
  </r>
  <r>
    <x v="0"/>
    <x v="2"/>
    <x v="7"/>
    <x v="161"/>
    <x v="21"/>
    <x v="1"/>
    <n v="12.5"/>
    <n v="0"/>
    <x v="4"/>
    <s v="DOMINIO"/>
    <x v="0"/>
    <m/>
    <m/>
    <n v="350"/>
    <n v="350"/>
    <n v="393.75"/>
  </r>
  <r>
    <x v="0"/>
    <x v="2"/>
    <x v="7"/>
    <x v="162"/>
    <x v="21"/>
    <x v="1"/>
    <n v="12.5"/>
    <n v="0"/>
    <x v="4"/>
    <s v="DOMINIO"/>
    <x v="0"/>
    <m/>
    <m/>
    <n v="350"/>
    <n v="350"/>
    <n v="393.75"/>
  </r>
  <r>
    <x v="0"/>
    <x v="2"/>
    <x v="7"/>
    <x v="163"/>
    <x v="21"/>
    <x v="1"/>
    <n v="12.5"/>
    <n v="0"/>
    <x v="4"/>
    <s v="DOMINIO"/>
    <x v="0"/>
    <m/>
    <m/>
    <n v="350"/>
    <n v="350"/>
    <n v="393.75"/>
  </r>
  <r>
    <x v="0"/>
    <x v="2"/>
    <x v="7"/>
    <x v="164"/>
    <x v="21"/>
    <x v="1"/>
    <n v="12.5"/>
    <n v="0"/>
    <x v="4"/>
    <s v="DOMINIO"/>
    <x v="0"/>
    <m/>
    <m/>
    <n v="350"/>
    <n v="350"/>
    <n v="393.75"/>
  </r>
  <r>
    <x v="0"/>
    <x v="2"/>
    <x v="7"/>
    <x v="178"/>
    <x v="21"/>
    <x v="1"/>
    <n v="12.5"/>
    <n v="0"/>
    <x v="4"/>
    <s v="DOMINIO"/>
    <x v="0"/>
    <m/>
    <m/>
    <n v="350"/>
    <n v="350"/>
    <n v="393.75"/>
  </r>
  <r>
    <x v="0"/>
    <x v="2"/>
    <x v="7"/>
    <x v="179"/>
    <x v="21"/>
    <x v="1"/>
    <n v="12.5"/>
    <n v="0"/>
    <x v="4"/>
    <s v="DOMINIO"/>
    <x v="0"/>
    <m/>
    <m/>
    <n v="350"/>
    <n v="350"/>
    <n v="393.75"/>
  </r>
  <r>
    <x v="0"/>
    <x v="2"/>
    <x v="7"/>
    <x v="180"/>
    <x v="22"/>
    <x v="1"/>
    <n v="12.5"/>
    <n v="0"/>
    <x v="4"/>
    <s v="DOMINIO"/>
    <x v="0"/>
    <m/>
    <m/>
    <n v="350"/>
    <n v="350"/>
    <n v="393.75"/>
  </r>
  <r>
    <x v="0"/>
    <x v="2"/>
    <x v="7"/>
    <x v="181"/>
    <x v="22"/>
    <x v="1"/>
    <n v="12.5"/>
    <n v="0"/>
    <x v="4"/>
    <s v="DOMINIO"/>
    <x v="0"/>
    <m/>
    <m/>
    <n v="350"/>
    <n v="350"/>
    <n v="393.75"/>
  </r>
  <r>
    <x v="0"/>
    <x v="2"/>
    <x v="7"/>
    <x v="182"/>
    <x v="22"/>
    <x v="1"/>
    <n v="12.5"/>
    <n v="0"/>
    <x v="4"/>
    <s v="DOMINIO"/>
    <x v="0"/>
    <m/>
    <m/>
    <n v="350"/>
    <n v="350"/>
    <n v="393.75"/>
  </r>
  <r>
    <x v="0"/>
    <x v="2"/>
    <x v="7"/>
    <x v="183"/>
    <x v="22"/>
    <x v="1"/>
    <n v="12.5"/>
    <n v="0"/>
    <x v="4"/>
    <s v="DOMINIO"/>
    <x v="0"/>
    <m/>
    <m/>
    <n v="350"/>
    <n v="350"/>
    <n v="393.75"/>
  </r>
  <r>
    <x v="0"/>
    <x v="2"/>
    <x v="7"/>
    <x v="184"/>
    <x v="22"/>
    <x v="1"/>
    <n v="12.5"/>
    <n v="0"/>
    <x v="4"/>
    <s v="DOMINIO"/>
    <x v="0"/>
    <m/>
    <m/>
    <n v="350"/>
    <n v="350"/>
    <n v="393.75"/>
  </r>
  <r>
    <x v="0"/>
    <x v="2"/>
    <x v="7"/>
    <x v="185"/>
    <x v="22"/>
    <x v="1"/>
    <n v="12.5"/>
    <n v="0"/>
    <x v="4"/>
    <s v="DOMINIO"/>
    <x v="0"/>
    <m/>
    <m/>
    <n v="350"/>
    <n v="350"/>
    <n v="393.75"/>
  </r>
  <r>
    <x v="0"/>
    <x v="2"/>
    <x v="7"/>
    <x v="186"/>
    <x v="22"/>
    <x v="1"/>
    <n v="12.5"/>
    <n v="0"/>
    <x v="4"/>
    <s v="DOMINIO"/>
    <x v="0"/>
    <m/>
    <m/>
    <n v="350"/>
    <n v="350"/>
    <n v="393.75"/>
  </r>
  <r>
    <x v="0"/>
    <x v="2"/>
    <x v="7"/>
    <x v="187"/>
    <x v="22"/>
    <x v="1"/>
    <n v="12.5"/>
    <n v="0"/>
    <x v="4"/>
    <s v="DOMINIO"/>
    <x v="0"/>
    <m/>
    <m/>
    <n v="350"/>
    <n v="350"/>
    <n v="393.75"/>
  </r>
  <r>
    <x v="0"/>
    <x v="2"/>
    <x v="7"/>
    <x v="188"/>
    <x v="22"/>
    <x v="1"/>
    <n v="12.5"/>
    <n v="0"/>
    <x v="4"/>
    <s v="DOMINIO"/>
    <x v="0"/>
    <s v="E - 97"/>
    <m/>
    <n v="350"/>
    <n v="350"/>
    <n v="393.75"/>
  </r>
  <r>
    <x v="0"/>
    <x v="2"/>
    <x v="7"/>
    <x v="189"/>
    <x v="22"/>
    <x v="1"/>
    <n v="12.5"/>
    <n v="0"/>
    <x v="4"/>
    <s v="DOMINIO"/>
    <x v="0"/>
    <s v="E - 96"/>
    <m/>
    <n v="350"/>
    <n v="350"/>
    <n v="393.75"/>
  </r>
  <r>
    <x v="0"/>
    <x v="2"/>
    <x v="7"/>
    <x v="190"/>
    <x v="22"/>
    <x v="1"/>
    <n v="12.5"/>
    <n v="0"/>
    <x v="4"/>
    <s v="DOMINIO"/>
    <x v="0"/>
    <s v="E - 99"/>
    <m/>
    <n v="350"/>
    <n v="350"/>
    <n v="393.75"/>
  </r>
  <r>
    <x v="0"/>
    <x v="2"/>
    <x v="7"/>
    <x v="191"/>
    <x v="22"/>
    <x v="1"/>
    <n v="12.5"/>
    <n v="0"/>
    <x v="4"/>
    <s v="DOMINIO"/>
    <x v="0"/>
    <s v="E - 98"/>
    <m/>
    <n v="350"/>
    <n v="350"/>
    <n v="393.75"/>
  </r>
  <r>
    <x v="0"/>
    <x v="2"/>
    <x v="7"/>
    <x v="192"/>
    <x v="22"/>
    <x v="1"/>
    <n v="12.5"/>
    <n v="0"/>
    <x v="4"/>
    <s v="DOMINIO"/>
    <x v="0"/>
    <m/>
    <m/>
    <n v="350"/>
    <n v="350"/>
    <n v="393.75"/>
  </r>
  <r>
    <x v="0"/>
    <x v="2"/>
    <x v="7"/>
    <x v="193"/>
    <x v="22"/>
    <x v="1"/>
    <n v="12.5"/>
    <n v="0"/>
    <x v="4"/>
    <s v="DOMINIO"/>
    <x v="0"/>
    <m/>
    <m/>
    <n v="350"/>
    <n v="350"/>
    <n v="393.75"/>
  </r>
  <r>
    <x v="0"/>
    <x v="2"/>
    <x v="7"/>
    <x v="194"/>
    <x v="22"/>
    <x v="1"/>
    <n v="12.5"/>
    <n v="0"/>
    <x v="4"/>
    <s v="DOMINIO"/>
    <x v="0"/>
    <s v="B - 34"/>
    <m/>
    <n v="350"/>
    <n v="350"/>
    <n v="393.75"/>
  </r>
  <r>
    <x v="0"/>
    <x v="2"/>
    <x v="7"/>
    <x v="7"/>
    <x v="22"/>
    <x v="1"/>
    <n v="12.5"/>
    <n v="0"/>
    <x v="4"/>
    <s v="DOMINIO"/>
    <x v="0"/>
    <m/>
    <m/>
    <n v="350"/>
    <n v="350"/>
    <n v="393.75"/>
  </r>
  <r>
    <x v="0"/>
    <x v="2"/>
    <x v="7"/>
    <x v="195"/>
    <x v="22"/>
    <x v="1"/>
    <n v="12.5"/>
    <n v="0"/>
    <x v="4"/>
    <s v="DOMINIO"/>
    <x v="0"/>
    <m/>
    <m/>
    <n v="350"/>
    <n v="350"/>
    <n v="393.75"/>
  </r>
  <r>
    <x v="0"/>
    <x v="2"/>
    <x v="7"/>
    <x v="196"/>
    <x v="22"/>
    <x v="1"/>
    <n v="12.5"/>
    <n v="0"/>
    <x v="4"/>
    <s v="DOMINIO"/>
    <x v="0"/>
    <s v="B - 35"/>
    <m/>
    <n v="350"/>
    <n v="350"/>
    <n v="393.75"/>
  </r>
  <r>
    <x v="0"/>
    <x v="2"/>
    <x v="7"/>
    <x v="197"/>
    <x v="22"/>
    <x v="1"/>
    <n v="12.5"/>
    <n v="0"/>
    <x v="4"/>
    <s v="DOMINIO"/>
    <x v="0"/>
    <s v="B - 36"/>
    <m/>
    <n v="350"/>
    <n v="350"/>
    <n v="393.75"/>
  </r>
  <r>
    <x v="0"/>
    <x v="2"/>
    <x v="7"/>
    <x v="198"/>
    <x v="22"/>
    <x v="1"/>
    <n v="12.5"/>
    <n v="0"/>
    <x v="4"/>
    <s v="DOMINIO"/>
    <x v="0"/>
    <m/>
    <m/>
    <n v="350"/>
    <n v="350"/>
    <n v="393.75"/>
  </r>
  <r>
    <x v="0"/>
    <x v="2"/>
    <x v="7"/>
    <x v="199"/>
    <x v="22"/>
    <x v="1"/>
    <n v="12.5"/>
    <n v="0"/>
    <x v="4"/>
    <s v="DOMINIO"/>
    <x v="0"/>
    <m/>
    <m/>
    <n v="350"/>
    <n v="350"/>
    <n v="393.75"/>
  </r>
  <r>
    <x v="0"/>
    <x v="2"/>
    <x v="7"/>
    <x v="200"/>
    <x v="22"/>
    <x v="1"/>
    <n v="12.5"/>
    <n v="0"/>
    <x v="4"/>
    <s v="DOMINIO"/>
    <x v="0"/>
    <s v="B - 42"/>
    <m/>
    <n v="350"/>
    <n v="350"/>
    <n v="393.75"/>
  </r>
  <r>
    <x v="0"/>
    <x v="2"/>
    <x v="7"/>
    <x v="201"/>
    <x v="22"/>
    <x v="1"/>
    <n v="12.5"/>
    <n v="0"/>
    <x v="4"/>
    <s v="DOMINIO"/>
    <x v="0"/>
    <s v="B - 43"/>
    <m/>
    <n v="350"/>
    <n v="350"/>
    <n v="393.75"/>
  </r>
  <r>
    <x v="0"/>
    <x v="2"/>
    <x v="7"/>
    <x v="202"/>
    <x v="22"/>
    <x v="1"/>
    <n v="12.5"/>
    <n v="0"/>
    <x v="4"/>
    <s v="DOMINIO"/>
    <x v="0"/>
    <s v="B - 46"/>
    <m/>
    <n v="350"/>
    <n v="350"/>
    <n v="393.75"/>
  </r>
  <r>
    <x v="0"/>
    <x v="2"/>
    <x v="7"/>
    <x v="203"/>
    <x v="22"/>
    <x v="1"/>
    <n v="12.5"/>
    <n v="0"/>
    <x v="4"/>
    <s v="DOMINIO"/>
    <x v="0"/>
    <s v="B - 47"/>
    <m/>
    <n v="350"/>
    <n v="350"/>
    <n v="393.75"/>
  </r>
  <r>
    <x v="0"/>
    <x v="2"/>
    <x v="7"/>
    <x v="204"/>
    <x v="22"/>
    <x v="1"/>
    <n v="12.5"/>
    <n v="0"/>
    <x v="4"/>
    <s v="DOMINIO"/>
    <x v="0"/>
    <s v="B - 49"/>
    <m/>
    <n v="350"/>
    <n v="350"/>
    <n v="393.75"/>
  </r>
  <r>
    <x v="0"/>
    <x v="2"/>
    <x v="7"/>
    <x v="205"/>
    <x v="22"/>
    <x v="1"/>
    <n v="12.5"/>
    <n v="0"/>
    <x v="4"/>
    <s v="DOMINIO"/>
    <x v="0"/>
    <m/>
    <m/>
    <n v="350"/>
    <n v="350"/>
    <n v="393.75"/>
  </r>
  <r>
    <x v="0"/>
    <x v="2"/>
    <x v="7"/>
    <x v="206"/>
    <x v="22"/>
    <x v="1"/>
    <n v="12.5"/>
    <n v="0"/>
    <x v="4"/>
    <s v="DOMINIO"/>
    <x v="0"/>
    <m/>
    <m/>
    <n v="350"/>
    <n v="350"/>
    <n v="393.75"/>
  </r>
  <r>
    <x v="0"/>
    <x v="2"/>
    <x v="7"/>
    <x v="207"/>
    <x v="22"/>
    <x v="1"/>
    <n v="12.5"/>
    <n v="0"/>
    <x v="4"/>
    <s v="DOMINIO"/>
    <x v="0"/>
    <m/>
    <m/>
    <n v="350"/>
    <n v="350"/>
    <n v="393.75"/>
  </r>
  <r>
    <x v="0"/>
    <x v="2"/>
    <x v="7"/>
    <x v="208"/>
    <x v="22"/>
    <x v="1"/>
    <n v="12.5"/>
    <n v="0"/>
    <x v="4"/>
    <s v="DOMINIO"/>
    <x v="0"/>
    <s v="B - 50"/>
    <m/>
    <n v="350"/>
    <n v="350"/>
    <n v="393.75"/>
  </r>
  <r>
    <x v="0"/>
    <x v="2"/>
    <x v="7"/>
    <x v="209"/>
    <x v="22"/>
    <x v="1"/>
    <n v="12.5"/>
    <n v="0"/>
    <x v="4"/>
    <s v="DOMINIO"/>
    <x v="0"/>
    <m/>
    <m/>
    <n v="350"/>
    <n v="350"/>
    <n v="393.75"/>
  </r>
  <r>
    <x v="0"/>
    <x v="2"/>
    <x v="7"/>
    <x v="210"/>
    <x v="22"/>
    <x v="1"/>
    <n v="12.5"/>
    <n v="0"/>
    <x v="4"/>
    <s v="DOMINIO"/>
    <x v="0"/>
    <m/>
    <m/>
    <n v="350"/>
    <n v="350"/>
    <n v="393.75"/>
  </r>
  <r>
    <x v="0"/>
    <x v="2"/>
    <x v="7"/>
    <x v="211"/>
    <x v="22"/>
    <x v="1"/>
    <n v="12.5"/>
    <n v="0"/>
    <x v="4"/>
    <s v="DOMINIO"/>
    <x v="0"/>
    <m/>
    <m/>
    <n v="350"/>
    <n v="350"/>
    <n v="393.75"/>
  </r>
  <r>
    <x v="0"/>
    <x v="2"/>
    <x v="7"/>
    <x v="212"/>
    <x v="22"/>
    <x v="1"/>
    <n v="12.5"/>
    <n v="0"/>
    <x v="4"/>
    <s v="DOMINIO"/>
    <x v="0"/>
    <m/>
    <m/>
    <n v="350"/>
    <n v="350"/>
    <n v="393.75"/>
  </r>
  <r>
    <x v="0"/>
    <x v="2"/>
    <x v="7"/>
    <x v="213"/>
    <x v="22"/>
    <x v="1"/>
    <n v="12.5"/>
    <n v="0"/>
    <x v="4"/>
    <s v="DOMINIO"/>
    <x v="0"/>
    <m/>
    <m/>
    <n v="350"/>
    <n v="350"/>
    <n v="393.75"/>
  </r>
  <r>
    <x v="0"/>
    <x v="2"/>
    <x v="7"/>
    <x v="214"/>
    <x v="22"/>
    <x v="1"/>
    <n v="12.5"/>
    <n v="0"/>
    <x v="4"/>
    <s v="DOMINIO"/>
    <x v="0"/>
    <m/>
    <m/>
    <n v="350"/>
    <n v="350"/>
    <n v="393.75"/>
  </r>
  <r>
    <x v="0"/>
    <x v="2"/>
    <x v="7"/>
    <x v="215"/>
    <x v="22"/>
    <x v="1"/>
    <n v="12.5"/>
    <n v="0"/>
    <x v="4"/>
    <s v="DOMINIO"/>
    <x v="0"/>
    <m/>
    <m/>
    <n v="350"/>
    <n v="350"/>
    <n v="393.75"/>
  </r>
  <r>
    <x v="0"/>
    <x v="2"/>
    <x v="7"/>
    <x v="216"/>
    <x v="22"/>
    <x v="1"/>
    <n v="12.5"/>
    <n v="0"/>
    <x v="4"/>
    <s v="DOMINIO"/>
    <x v="0"/>
    <m/>
    <m/>
    <n v="350"/>
    <n v="350"/>
    <n v="393.75"/>
  </r>
  <r>
    <x v="0"/>
    <x v="2"/>
    <x v="7"/>
    <x v="217"/>
    <x v="22"/>
    <x v="1"/>
    <n v="12.5"/>
    <n v="0"/>
    <x v="4"/>
    <s v="DOMINIO"/>
    <x v="0"/>
    <m/>
    <m/>
    <n v="350"/>
    <n v="350"/>
    <n v="393.75"/>
  </r>
  <r>
    <x v="0"/>
    <x v="2"/>
    <x v="7"/>
    <x v="218"/>
    <x v="22"/>
    <x v="1"/>
    <n v="12.5"/>
    <n v="0"/>
    <x v="4"/>
    <s v="DOMINIO"/>
    <x v="0"/>
    <m/>
    <m/>
    <n v="350"/>
    <n v="350"/>
    <n v="393.75"/>
  </r>
  <r>
    <x v="0"/>
    <x v="2"/>
    <x v="7"/>
    <x v="219"/>
    <x v="22"/>
    <x v="1"/>
    <n v="12.5"/>
    <n v="0"/>
    <x v="4"/>
    <s v="DOMINIO"/>
    <x v="0"/>
    <m/>
    <m/>
    <n v="350"/>
    <n v="350"/>
    <n v="393.75"/>
  </r>
  <r>
    <x v="0"/>
    <x v="2"/>
    <x v="7"/>
    <x v="220"/>
    <x v="22"/>
    <x v="1"/>
    <n v="12.5"/>
    <n v="0"/>
    <x v="4"/>
    <s v="DOMINIO"/>
    <x v="0"/>
    <m/>
    <m/>
    <n v="350"/>
    <n v="350"/>
    <n v="393.75"/>
  </r>
  <r>
    <x v="0"/>
    <x v="2"/>
    <x v="7"/>
    <x v="221"/>
    <x v="22"/>
    <x v="1"/>
    <n v="12.5"/>
    <n v="0"/>
    <x v="4"/>
    <s v="DOMINIO"/>
    <x v="0"/>
    <m/>
    <m/>
    <n v="350"/>
    <n v="350"/>
    <n v="393.75"/>
  </r>
  <r>
    <x v="0"/>
    <x v="2"/>
    <x v="7"/>
    <x v="222"/>
    <x v="22"/>
    <x v="1"/>
    <n v="12.5"/>
    <n v="0"/>
    <x v="4"/>
    <s v="DOMINIO"/>
    <x v="0"/>
    <m/>
    <m/>
    <n v="350"/>
    <n v="350"/>
    <n v="393.75"/>
  </r>
  <r>
    <x v="0"/>
    <x v="2"/>
    <x v="7"/>
    <x v="223"/>
    <x v="22"/>
    <x v="1"/>
    <n v="12.5"/>
    <n v="0"/>
    <x v="4"/>
    <s v="DOMINIO"/>
    <x v="0"/>
    <m/>
    <m/>
    <n v="350"/>
    <n v="350"/>
    <n v="393.75"/>
  </r>
  <r>
    <x v="0"/>
    <x v="2"/>
    <x v="7"/>
    <x v="224"/>
    <x v="22"/>
    <x v="1"/>
    <n v="12.5"/>
    <n v="0"/>
    <x v="4"/>
    <s v="DOMINIO"/>
    <x v="0"/>
    <m/>
    <m/>
    <n v="350"/>
    <n v="350"/>
    <n v="393.75"/>
  </r>
  <r>
    <x v="0"/>
    <x v="2"/>
    <x v="7"/>
    <x v="225"/>
    <x v="22"/>
    <x v="1"/>
    <n v="12.5"/>
    <n v="0"/>
    <x v="4"/>
    <s v="DOMINIO"/>
    <x v="0"/>
    <m/>
    <m/>
    <n v="350"/>
    <n v="350"/>
    <n v="393.75"/>
  </r>
  <r>
    <x v="0"/>
    <x v="2"/>
    <x v="7"/>
    <x v="226"/>
    <x v="22"/>
    <x v="1"/>
    <n v="12.5"/>
    <n v="0"/>
    <x v="4"/>
    <s v="DOMINIO"/>
    <x v="0"/>
    <m/>
    <m/>
    <n v="350"/>
    <n v="350"/>
    <n v="393.75"/>
  </r>
  <r>
    <x v="0"/>
    <x v="2"/>
    <x v="7"/>
    <x v="227"/>
    <x v="22"/>
    <x v="1"/>
    <n v="12.5"/>
    <n v="0"/>
    <x v="4"/>
    <s v="DOMINIO"/>
    <x v="0"/>
    <m/>
    <m/>
    <n v="350"/>
    <n v="350"/>
    <n v="393.75"/>
  </r>
  <r>
    <x v="0"/>
    <x v="2"/>
    <x v="7"/>
    <x v="228"/>
    <x v="22"/>
    <x v="1"/>
    <n v="12.5"/>
    <n v="0"/>
    <x v="4"/>
    <s v="DOMINIO"/>
    <x v="0"/>
    <m/>
    <m/>
    <n v="350"/>
    <n v="350"/>
    <n v="393.75"/>
  </r>
  <r>
    <x v="0"/>
    <x v="3"/>
    <x v="8"/>
    <x v="105"/>
    <x v="20"/>
    <x v="1"/>
    <n v="12.5"/>
    <n v="0"/>
    <x v="4"/>
    <s v="DOMINIO"/>
    <x v="0"/>
    <m/>
    <m/>
    <n v="350"/>
    <n v="350"/>
    <n v="393.75"/>
  </r>
  <r>
    <x v="0"/>
    <x v="3"/>
    <x v="8"/>
    <x v="107"/>
    <x v="20"/>
    <x v="1"/>
    <n v="12.5"/>
    <n v="0"/>
    <x v="4"/>
    <s v="DOMINIO"/>
    <x v="0"/>
    <m/>
    <m/>
    <n v="350"/>
    <n v="350"/>
    <n v="393.75"/>
  </r>
  <r>
    <x v="0"/>
    <x v="4"/>
    <x v="9"/>
    <x v="108"/>
    <x v="6"/>
    <x v="1"/>
    <n v="21.49"/>
    <n v="0"/>
    <x v="4"/>
    <s v="DOMINIO"/>
    <x v="0"/>
    <m/>
    <m/>
    <n v="1347"/>
    <n v="1347"/>
    <n v="1515.3749999999998"/>
  </r>
  <r>
    <x v="1"/>
    <x v="0"/>
    <x v="3"/>
    <x v="229"/>
    <x v="0"/>
    <x v="0"/>
    <n v="36.9"/>
    <n v="2.2400000000000002"/>
    <x v="5"/>
    <s v="DOMINIO"/>
    <x v="1"/>
    <m/>
    <m/>
    <n v="2632"/>
    <n v="2368.8000000000002"/>
    <n v="2664.9"/>
  </r>
  <r>
    <x v="1"/>
    <x v="0"/>
    <x v="3"/>
    <x v="13"/>
    <x v="8"/>
    <x v="0"/>
    <n v="36.9"/>
    <n v="2.2400000000000002"/>
    <x v="5"/>
    <s v="DOMINIO"/>
    <x v="0"/>
    <m/>
    <m/>
    <n v="2667"/>
    <n v="2400.3000000000002"/>
    <n v="2700.3374999999996"/>
  </r>
  <r>
    <x v="1"/>
    <x v="0"/>
    <x v="3"/>
    <x v="24"/>
    <x v="10"/>
    <x v="0"/>
    <n v="36.9"/>
    <n v="2.2400000000000002"/>
    <x v="5"/>
    <s v="DOMINIO"/>
    <x v="1"/>
    <m/>
    <m/>
    <n v="2702"/>
    <n v="2431.8000000000002"/>
    <n v="2735.7750000000001"/>
  </r>
  <r>
    <x v="1"/>
    <x v="0"/>
    <x v="3"/>
    <x v="27"/>
    <x v="11"/>
    <x v="0"/>
    <n v="36.9"/>
    <n v="2.2400000000000002"/>
    <x v="6"/>
    <s v="DOMINIO"/>
    <x v="1"/>
    <m/>
    <m/>
    <n v="2632"/>
    <n v="2368.8000000000002"/>
    <n v="2664.9"/>
  </r>
  <r>
    <x v="1"/>
    <x v="0"/>
    <x v="3"/>
    <x v="37"/>
    <x v="13"/>
    <x v="0"/>
    <n v="36.9"/>
    <n v="2.2400000000000002"/>
    <x v="6"/>
    <s v="DOMINIO"/>
    <x v="0"/>
    <m/>
    <m/>
    <n v="2644"/>
    <n v="2379.6"/>
    <n v="2677.0499999999997"/>
  </r>
  <r>
    <x v="1"/>
    <x v="0"/>
    <x v="3"/>
    <x v="38"/>
    <x v="13"/>
    <x v="0"/>
    <n v="36.9"/>
    <n v="2.2400000000000002"/>
    <x v="5"/>
    <s v="DOMINIO"/>
    <x v="0"/>
    <m/>
    <m/>
    <n v="2726"/>
    <n v="2453.4"/>
    <n v="2760.0749999999998"/>
  </r>
  <r>
    <x v="1"/>
    <x v="0"/>
    <x v="3"/>
    <x v="230"/>
    <x v="13"/>
    <x v="0"/>
    <n v="37.19"/>
    <n v="2.2400000000000002"/>
    <x v="7"/>
    <s v="DOMINIO"/>
    <x v="1"/>
    <m/>
    <m/>
    <n v="2679"/>
    <n v="2411.1"/>
    <n v="2712.4874999999997"/>
  </r>
  <r>
    <x v="1"/>
    <x v="0"/>
    <x v="3"/>
    <x v="231"/>
    <x v="13"/>
    <x v="0"/>
    <n v="37.28"/>
    <n v="2.2400000000000002"/>
    <x v="7"/>
    <s v="DOMINIO"/>
    <x v="0"/>
    <m/>
    <m/>
    <n v="2679"/>
    <n v="2411.1"/>
    <n v="2712.4874999999997"/>
  </r>
  <r>
    <x v="1"/>
    <x v="0"/>
    <x v="3"/>
    <x v="41"/>
    <x v="14"/>
    <x v="0"/>
    <n v="36.9"/>
    <n v="2.2400000000000002"/>
    <x v="6"/>
    <s v="DOMINIO"/>
    <x v="0"/>
    <m/>
    <m/>
    <n v="2649"/>
    <n v="2384.1"/>
    <n v="2682.1124999999997"/>
  </r>
  <r>
    <x v="1"/>
    <x v="0"/>
    <x v="3"/>
    <x v="42"/>
    <x v="14"/>
    <x v="0"/>
    <n v="36.9"/>
    <n v="2.2400000000000002"/>
    <x v="6"/>
    <s v="DOMINIO"/>
    <x v="0"/>
    <m/>
    <m/>
    <n v="2649"/>
    <n v="2384.1"/>
    <n v="2682.1124999999997"/>
  </r>
  <r>
    <x v="1"/>
    <x v="0"/>
    <x v="3"/>
    <x v="232"/>
    <x v="14"/>
    <x v="0"/>
    <n v="37.28"/>
    <n v="2.2400000000000002"/>
    <x v="7"/>
    <s v="DOMINIO"/>
    <x v="0"/>
    <m/>
    <m/>
    <n v="2685"/>
    <n v="2416.5"/>
    <n v="2718.5624999999995"/>
  </r>
  <r>
    <x v="1"/>
    <x v="0"/>
    <x v="3"/>
    <x v="46"/>
    <x v="15"/>
    <x v="0"/>
    <n v="36.9"/>
    <n v="2.2400000000000002"/>
    <x v="6"/>
    <s v="DOMINIO"/>
    <x v="0"/>
    <m/>
    <m/>
    <n v="2655"/>
    <n v="2389.5"/>
    <n v="2688.1875"/>
  </r>
  <r>
    <x v="1"/>
    <x v="0"/>
    <x v="3"/>
    <x v="47"/>
    <x v="15"/>
    <x v="0"/>
    <n v="36.9"/>
    <n v="2.2400000000000002"/>
    <x v="6"/>
    <s v="DOMINIO"/>
    <x v="0"/>
    <m/>
    <m/>
    <n v="2655"/>
    <n v="2389.5"/>
    <n v="2688.1875"/>
  </r>
  <r>
    <x v="1"/>
    <x v="0"/>
    <x v="3"/>
    <x v="233"/>
    <x v="15"/>
    <x v="0"/>
    <n v="36.9"/>
    <n v="2.2400000000000002"/>
    <x v="5"/>
    <s v="DOMINIO"/>
    <x v="1"/>
    <m/>
    <m/>
    <n v="2738"/>
    <n v="2464.2000000000003"/>
    <n v="2772.2249999999999"/>
  </r>
  <r>
    <x v="1"/>
    <x v="0"/>
    <x v="3"/>
    <x v="234"/>
    <x v="15"/>
    <x v="0"/>
    <n v="37.19"/>
    <n v="2.2400000000000002"/>
    <x v="7"/>
    <s v="DOMINIO"/>
    <x v="0"/>
    <m/>
    <m/>
    <n v="2691"/>
    <n v="2421.9"/>
    <n v="2724.6374999999998"/>
  </r>
  <r>
    <x v="1"/>
    <x v="0"/>
    <x v="3"/>
    <x v="235"/>
    <x v="15"/>
    <x v="0"/>
    <n v="37.28"/>
    <n v="2.2400000000000002"/>
    <x v="7"/>
    <s v="DOMINIO"/>
    <x v="0"/>
    <m/>
    <m/>
    <n v="2691"/>
    <n v="2421.9"/>
    <n v="2724.6374999999998"/>
  </r>
  <r>
    <x v="1"/>
    <x v="0"/>
    <x v="4"/>
    <x v="236"/>
    <x v="3"/>
    <x v="0"/>
    <n v="43.48"/>
    <n v="2.2400000000000002"/>
    <x v="6"/>
    <s v="DOMINIO"/>
    <x v="1"/>
    <m/>
    <m/>
    <n v="2784"/>
    <n v="2505.6"/>
    <n v="2818.7999999999997"/>
  </r>
  <r>
    <x v="1"/>
    <x v="0"/>
    <x v="4"/>
    <x v="237"/>
    <x v="0"/>
    <x v="0"/>
    <n v="42.83"/>
    <n v="2.2400000000000002"/>
    <x v="6"/>
    <s v="DOMINIO"/>
    <x v="1"/>
    <m/>
    <m/>
    <n v="2795"/>
    <n v="2515.5"/>
    <n v="2829.9374999999995"/>
  </r>
  <r>
    <x v="1"/>
    <x v="0"/>
    <x v="4"/>
    <x v="238"/>
    <x v="4"/>
    <x v="0"/>
    <n v="43.48"/>
    <n v="2.2400000000000002"/>
    <x v="5"/>
    <s v="DOMINIO"/>
    <x v="1"/>
    <m/>
    <m/>
    <n v="2889"/>
    <n v="2600.1"/>
    <n v="2925.1125000000002"/>
  </r>
  <r>
    <x v="1"/>
    <x v="0"/>
    <x v="4"/>
    <x v="239"/>
    <x v="9"/>
    <x v="0"/>
    <n v="43.48"/>
    <n v="2.2400000000000002"/>
    <x v="5"/>
    <s v="DOMINIO"/>
    <x v="0"/>
    <m/>
    <m/>
    <n v="2925"/>
    <n v="2632.5"/>
    <n v="2961.5625"/>
  </r>
  <r>
    <x v="1"/>
    <x v="0"/>
    <x v="4"/>
    <x v="240"/>
    <x v="10"/>
    <x v="0"/>
    <n v="42.83"/>
    <n v="2.2400000000000002"/>
    <x v="5"/>
    <s v="DOMINIO"/>
    <x v="0"/>
    <m/>
    <m/>
    <n v="2948"/>
    <n v="2653.2000000000003"/>
    <n v="2984.85"/>
  </r>
  <r>
    <x v="1"/>
    <x v="0"/>
    <x v="4"/>
    <x v="241"/>
    <x v="10"/>
    <x v="0"/>
    <n v="43.48"/>
    <n v="2.2400000000000002"/>
    <x v="5"/>
    <s v="DOMINIO"/>
    <x v="1"/>
    <m/>
    <m/>
    <n v="2948"/>
    <n v="2653.2000000000003"/>
    <n v="2984.85"/>
  </r>
  <r>
    <x v="1"/>
    <x v="0"/>
    <x v="4"/>
    <x v="26"/>
    <x v="11"/>
    <x v="0"/>
    <n v="43.48"/>
    <n v="2.2400000000000002"/>
    <x v="6"/>
    <s v="DOMINIO"/>
    <x v="1"/>
    <m/>
    <m/>
    <n v="2878"/>
    <n v="2590.2000000000003"/>
    <n v="2913.9750000000004"/>
  </r>
  <r>
    <x v="1"/>
    <x v="0"/>
    <x v="4"/>
    <x v="40"/>
    <x v="14"/>
    <x v="0"/>
    <n v="43.48"/>
    <n v="2.2400000000000002"/>
    <x v="6"/>
    <s v="DOMINIO"/>
    <x v="0"/>
    <m/>
    <m/>
    <n v="2895"/>
    <n v="2605.5"/>
    <n v="2931.1874999999995"/>
  </r>
  <r>
    <x v="1"/>
    <x v="0"/>
    <x v="4"/>
    <x v="242"/>
    <x v="15"/>
    <x v="0"/>
    <n v="42.83"/>
    <n v="2.2400000000000002"/>
    <x v="6"/>
    <s v="DOMINIO"/>
    <x v="0"/>
    <m/>
    <m/>
    <n v="2901"/>
    <n v="2610.9"/>
    <n v="2937.2624999999998"/>
  </r>
  <r>
    <x v="1"/>
    <x v="0"/>
    <x v="5"/>
    <x v="243"/>
    <x v="3"/>
    <x v="0"/>
    <n v="46.18"/>
    <n v="2.2400000000000002"/>
    <x v="5"/>
    <s v="DOMINIO"/>
    <x v="0"/>
    <m/>
    <m/>
    <n v="2947"/>
    <n v="2652.3"/>
    <n v="2983.8375000000001"/>
  </r>
  <r>
    <x v="1"/>
    <x v="0"/>
    <x v="5"/>
    <x v="244"/>
    <x v="3"/>
    <x v="0"/>
    <n v="46.18"/>
    <n v="2.2400000000000002"/>
    <x v="5"/>
    <s v="DOMINIO"/>
    <x v="0"/>
    <m/>
    <m/>
    <n v="2947"/>
    <n v="2652.3"/>
    <n v="2983.8375000000001"/>
  </r>
  <r>
    <x v="1"/>
    <x v="0"/>
    <x v="5"/>
    <x v="245"/>
    <x v="3"/>
    <x v="0"/>
    <n v="46.18"/>
    <n v="2.2400000000000002"/>
    <x v="5"/>
    <s v="DOMINIO"/>
    <x v="0"/>
    <m/>
    <m/>
    <n v="2947"/>
    <n v="2652.3"/>
    <n v="2983.8375000000001"/>
  </r>
  <r>
    <x v="1"/>
    <x v="0"/>
    <x v="5"/>
    <x v="246"/>
    <x v="3"/>
    <x v="0"/>
    <n v="46.83"/>
    <n v="2.2400000000000002"/>
    <x v="5"/>
    <s v="DOMINIO"/>
    <x v="0"/>
    <m/>
    <m/>
    <n v="2947"/>
    <n v="2652.3"/>
    <n v="2983.8375000000001"/>
  </r>
  <r>
    <x v="1"/>
    <x v="0"/>
    <x v="5"/>
    <x v="247"/>
    <x v="3"/>
    <x v="0"/>
    <n v="46.18"/>
    <n v="2.2400000000000002"/>
    <x v="6"/>
    <s v="DOMINIO"/>
    <x v="0"/>
    <m/>
    <m/>
    <n v="2865"/>
    <n v="2578.5"/>
    <n v="2900.8125"/>
  </r>
  <r>
    <x v="1"/>
    <x v="0"/>
    <x v="5"/>
    <x v="0"/>
    <x v="0"/>
    <x v="0"/>
    <n v="46.18"/>
    <n v="2.2400000000000002"/>
    <x v="5"/>
    <s v="DOMINIO"/>
    <x v="0"/>
    <m/>
    <m/>
    <n v="2959"/>
    <n v="2663.1"/>
    <n v="2995.9874999999997"/>
  </r>
  <r>
    <x v="1"/>
    <x v="0"/>
    <x v="5"/>
    <x v="248"/>
    <x v="0"/>
    <x v="0"/>
    <n v="46.18"/>
    <n v="2.2400000000000002"/>
    <x v="5"/>
    <s v="DOMINIO"/>
    <x v="0"/>
    <m/>
    <m/>
    <n v="2959"/>
    <n v="2663.1"/>
    <n v="2995.9874999999997"/>
  </r>
  <r>
    <x v="1"/>
    <x v="0"/>
    <x v="5"/>
    <x v="249"/>
    <x v="0"/>
    <x v="0"/>
    <n v="46.18"/>
    <n v="2.2400000000000002"/>
    <x v="5"/>
    <s v="DOMINIO"/>
    <x v="0"/>
    <m/>
    <m/>
    <n v="2959"/>
    <n v="2663.1"/>
    <n v="2995.9874999999997"/>
  </r>
  <r>
    <x v="1"/>
    <x v="0"/>
    <x v="5"/>
    <x v="250"/>
    <x v="0"/>
    <x v="0"/>
    <n v="46.83"/>
    <n v="2.2400000000000002"/>
    <x v="5"/>
    <s v="DOMINIO"/>
    <x v="0"/>
    <m/>
    <m/>
    <n v="2959"/>
    <n v="2663.1"/>
    <n v="2995.9874999999997"/>
  </r>
  <r>
    <x v="1"/>
    <x v="0"/>
    <x v="5"/>
    <x v="251"/>
    <x v="4"/>
    <x v="0"/>
    <n v="46.18"/>
    <n v="2.86"/>
    <x v="5"/>
    <s v="DOMINIO"/>
    <x v="0"/>
    <m/>
    <m/>
    <n v="2971"/>
    <n v="2673.9"/>
    <n v="3008.1375000000003"/>
  </r>
  <r>
    <x v="1"/>
    <x v="0"/>
    <x v="5"/>
    <x v="252"/>
    <x v="7"/>
    <x v="0"/>
    <n v="46.83"/>
    <n v="2.2400000000000002"/>
    <x v="5"/>
    <s v="DOMINIO"/>
    <x v="1"/>
    <m/>
    <m/>
    <n v="2982"/>
    <n v="2683.8"/>
    <n v="3019.2750000000001"/>
  </r>
  <r>
    <x v="1"/>
    <x v="0"/>
    <x v="5"/>
    <x v="253"/>
    <x v="7"/>
    <x v="0"/>
    <n v="46.18"/>
    <n v="2.2400000000000002"/>
    <x v="5"/>
    <s v="DOMINIO"/>
    <x v="1"/>
    <m/>
    <m/>
    <n v="2982"/>
    <n v="2683.8"/>
    <n v="3019.2750000000001"/>
  </r>
  <r>
    <x v="1"/>
    <x v="0"/>
    <x v="5"/>
    <x v="254"/>
    <x v="7"/>
    <x v="0"/>
    <n v="46.83"/>
    <n v="2.2400000000000002"/>
    <x v="5"/>
    <s v="DOMINIO"/>
    <x v="0"/>
    <m/>
    <m/>
    <n v="2982"/>
    <n v="2683.8"/>
    <n v="3019.2750000000001"/>
  </r>
  <r>
    <x v="1"/>
    <x v="0"/>
    <x v="5"/>
    <x v="255"/>
    <x v="7"/>
    <x v="0"/>
    <n v="46.18"/>
    <n v="2.2400000000000002"/>
    <x v="6"/>
    <s v="DOMINIO"/>
    <x v="0"/>
    <m/>
    <m/>
    <n v="2900"/>
    <n v="2610"/>
    <n v="2936.25"/>
  </r>
  <r>
    <x v="1"/>
    <x v="0"/>
    <x v="5"/>
    <x v="256"/>
    <x v="7"/>
    <x v="0"/>
    <n v="46.18"/>
    <n v="2.2400000000000002"/>
    <x v="6"/>
    <s v="DOMINIO"/>
    <x v="0"/>
    <m/>
    <m/>
    <n v="2900"/>
    <n v="2610"/>
    <n v="2936.25"/>
  </r>
  <r>
    <x v="1"/>
    <x v="0"/>
    <x v="5"/>
    <x v="257"/>
    <x v="8"/>
    <x v="0"/>
    <n v="46.83"/>
    <n v="2.2400000000000002"/>
    <x v="5"/>
    <s v="DOMINIO"/>
    <x v="0"/>
    <m/>
    <m/>
    <n v="2994"/>
    <n v="2694.6"/>
    <n v="3031.4249999999997"/>
  </r>
  <r>
    <x v="1"/>
    <x v="0"/>
    <x v="5"/>
    <x v="258"/>
    <x v="8"/>
    <x v="0"/>
    <n v="46.18"/>
    <n v="2.2400000000000002"/>
    <x v="6"/>
    <s v="DOMINIO"/>
    <x v="0"/>
    <m/>
    <m/>
    <n v="2912"/>
    <n v="2620.8000000000002"/>
    <n v="2948.4"/>
  </r>
  <r>
    <x v="1"/>
    <x v="0"/>
    <x v="5"/>
    <x v="259"/>
    <x v="8"/>
    <x v="0"/>
    <n v="46.18"/>
    <n v="2.2400000000000002"/>
    <x v="6"/>
    <s v="DOMINIO"/>
    <x v="0"/>
    <m/>
    <m/>
    <n v="2912"/>
    <n v="2620.8000000000002"/>
    <n v="2948.4"/>
  </r>
  <r>
    <x v="1"/>
    <x v="0"/>
    <x v="5"/>
    <x v="260"/>
    <x v="9"/>
    <x v="0"/>
    <n v="46.18"/>
    <n v="2.2400000000000002"/>
    <x v="6"/>
    <s v="DOMINIO"/>
    <x v="0"/>
    <m/>
    <m/>
    <n v="2924"/>
    <n v="2631.6"/>
    <n v="2960.5499999999997"/>
  </r>
  <r>
    <x v="1"/>
    <x v="0"/>
    <x v="5"/>
    <x v="261"/>
    <x v="9"/>
    <x v="0"/>
    <n v="46.18"/>
    <n v="2.2400000000000002"/>
    <x v="5"/>
    <s v="DOMINIO"/>
    <x v="0"/>
    <m/>
    <m/>
    <n v="3006"/>
    <n v="2705.4"/>
    <n v="3043.5749999999998"/>
  </r>
  <r>
    <x v="1"/>
    <x v="0"/>
    <x v="5"/>
    <x v="262"/>
    <x v="9"/>
    <x v="0"/>
    <n v="46.18"/>
    <n v="2.2400000000000002"/>
    <x v="5"/>
    <s v="DOMINIO"/>
    <x v="0"/>
    <m/>
    <m/>
    <n v="3006"/>
    <n v="2705.4"/>
    <n v="3043.5749999999998"/>
  </r>
  <r>
    <x v="1"/>
    <x v="0"/>
    <x v="5"/>
    <x v="263"/>
    <x v="9"/>
    <x v="0"/>
    <n v="46.83"/>
    <n v="2.2400000000000002"/>
    <x v="5"/>
    <s v="DOMINIO"/>
    <x v="1"/>
    <m/>
    <m/>
    <n v="3006"/>
    <n v="2705.4"/>
    <n v="3043.5749999999998"/>
  </r>
  <r>
    <x v="1"/>
    <x v="0"/>
    <x v="5"/>
    <x v="264"/>
    <x v="9"/>
    <x v="0"/>
    <n v="46.18"/>
    <n v="2.2400000000000002"/>
    <x v="6"/>
    <s v="DOMINIO"/>
    <x v="0"/>
    <m/>
    <m/>
    <n v="2924"/>
    <n v="2631.6"/>
    <n v="2960.5499999999997"/>
  </r>
  <r>
    <x v="1"/>
    <x v="0"/>
    <x v="5"/>
    <x v="265"/>
    <x v="5"/>
    <x v="0"/>
    <n v="46.18"/>
    <n v="2.2400000000000002"/>
    <x v="6"/>
    <s v="DOMINIO"/>
    <x v="0"/>
    <m/>
    <m/>
    <n v="2935"/>
    <n v="2641.5"/>
    <n v="2971.6874999999995"/>
  </r>
  <r>
    <x v="1"/>
    <x v="0"/>
    <x v="5"/>
    <x v="266"/>
    <x v="5"/>
    <x v="0"/>
    <n v="46.18"/>
    <n v="2.2400000000000002"/>
    <x v="6"/>
    <s v="DOMINIO"/>
    <x v="0"/>
    <m/>
    <m/>
    <n v="2935"/>
    <n v="2641.5"/>
    <n v="2971.6874999999995"/>
  </r>
  <r>
    <x v="1"/>
    <x v="0"/>
    <x v="5"/>
    <x v="267"/>
    <x v="5"/>
    <x v="0"/>
    <n v="46.83"/>
    <n v="2.2400000000000002"/>
    <x v="6"/>
    <s v="DOMINIO"/>
    <x v="0"/>
    <m/>
    <m/>
    <n v="2935"/>
    <n v="2641.5"/>
    <n v="2971.6874999999995"/>
  </r>
  <r>
    <x v="1"/>
    <x v="0"/>
    <x v="5"/>
    <x v="268"/>
    <x v="5"/>
    <x v="0"/>
    <n v="46.18"/>
    <n v="2.2400000000000002"/>
    <x v="5"/>
    <s v="DOMINIO"/>
    <x v="0"/>
    <m/>
    <m/>
    <n v="3018"/>
    <n v="2716.2000000000003"/>
    <n v="3055.7250000000004"/>
  </r>
  <r>
    <x v="1"/>
    <x v="0"/>
    <x v="5"/>
    <x v="269"/>
    <x v="5"/>
    <x v="0"/>
    <n v="46.18"/>
    <n v="2.2400000000000002"/>
    <x v="5"/>
    <s v="DOMINIO"/>
    <x v="1"/>
    <m/>
    <m/>
    <n v="3018"/>
    <n v="2716.2000000000003"/>
    <n v="3055.7250000000004"/>
  </r>
  <r>
    <x v="1"/>
    <x v="0"/>
    <x v="5"/>
    <x v="270"/>
    <x v="5"/>
    <x v="0"/>
    <n v="46.83"/>
    <n v="2.2400000000000002"/>
    <x v="6"/>
    <s v="DOMINIO"/>
    <x v="0"/>
    <m/>
    <m/>
    <n v="2935"/>
    <n v="2641.5"/>
    <n v="2971.6874999999995"/>
  </r>
  <r>
    <x v="1"/>
    <x v="0"/>
    <x v="5"/>
    <x v="271"/>
    <x v="5"/>
    <x v="0"/>
    <n v="46.18"/>
    <n v="2.2400000000000002"/>
    <x v="6"/>
    <s v="DOMINIO"/>
    <x v="0"/>
    <m/>
    <m/>
    <n v="2935"/>
    <n v="2641.5"/>
    <n v="2971.6874999999995"/>
  </r>
  <r>
    <x v="1"/>
    <x v="0"/>
    <x v="5"/>
    <x v="272"/>
    <x v="5"/>
    <x v="0"/>
    <n v="46.18"/>
    <n v="2.2400000000000002"/>
    <x v="6"/>
    <s v="DOMINIO"/>
    <x v="0"/>
    <m/>
    <m/>
    <n v="2935"/>
    <n v="2641.5"/>
    <n v="2971.6874999999995"/>
  </r>
  <r>
    <x v="1"/>
    <x v="1"/>
    <x v="6"/>
    <x v="273"/>
    <x v="21"/>
    <x v="1"/>
    <n v="4"/>
    <n v="0"/>
    <x v="4"/>
    <s v="DOMINIO"/>
    <x v="0"/>
    <m/>
    <m/>
    <n v="70"/>
    <n v="70"/>
    <n v="78.75"/>
  </r>
  <r>
    <x v="1"/>
    <x v="1"/>
    <x v="6"/>
    <x v="108"/>
    <x v="21"/>
    <x v="1"/>
    <n v="4.3899999999999997"/>
    <n v="0"/>
    <x v="4"/>
    <s v="DOMINIO"/>
    <x v="1"/>
    <m/>
    <m/>
    <n v="70"/>
    <n v="70"/>
    <n v="78.75"/>
  </r>
  <r>
    <x v="1"/>
    <x v="1"/>
    <x v="6"/>
    <x v="109"/>
    <x v="21"/>
    <x v="1"/>
    <n v="4.3899999999999997"/>
    <n v="0"/>
    <x v="4"/>
    <s v="DOMINIO"/>
    <x v="1"/>
    <m/>
    <m/>
    <n v="70"/>
    <n v="70"/>
    <n v="78.75"/>
  </r>
  <r>
    <x v="1"/>
    <x v="1"/>
    <x v="6"/>
    <x v="274"/>
    <x v="21"/>
    <x v="1"/>
    <n v="4.71"/>
    <n v="0"/>
    <x v="4"/>
    <s v="DOMINIO"/>
    <x v="1"/>
    <m/>
    <m/>
    <n v="42"/>
    <n v="42"/>
    <n v="47.249999999999993"/>
  </r>
  <r>
    <x v="1"/>
    <x v="1"/>
    <x v="6"/>
    <x v="110"/>
    <x v="21"/>
    <x v="1"/>
    <n v="2.34"/>
    <n v="0"/>
    <x v="4"/>
    <s v="DOMINIO"/>
    <x v="0"/>
    <m/>
    <m/>
    <n v="40"/>
    <n v="40"/>
    <n v="45"/>
  </r>
  <r>
    <x v="1"/>
    <x v="1"/>
    <x v="6"/>
    <x v="118"/>
    <x v="21"/>
    <x v="1"/>
    <n v="4.76"/>
    <n v="0"/>
    <x v="4"/>
    <s v="DOMINIO"/>
    <x v="0"/>
    <m/>
    <m/>
    <n v="80"/>
    <n v="80"/>
    <n v="90"/>
  </r>
  <r>
    <x v="1"/>
    <x v="1"/>
    <x v="6"/>
    <x v="275"/>
    <x v="21"/>
    <x v="1"/>
    <n v="4.1399999999999997"/>
    <n v="0"/>
    <x v="4"/>
    <s v="DOMINIO"/>
    <x v="1"/>
    <m/>
    <m/>
    <n v="70"/>
    <n v="70"/>
    <n v="78.75"/>
  </r>
  <r>
    <x v="1"/>
    <x v="1"/>
    <x v="6"/>
    <x v="121"/>
    <x v="21"/>
    <x v="1"/>
    <n v="4.05"/>
    <n v="0"/>
    <x v="4"/>
    <s v="DOMINIO"/>
    <x v="0"/>
    <s v="E - 112"/>
    <m/>
    <n v="70"/>
    <n v="70"/>
    <n v="78.75"/>
  </r>
  <r>
    <x v="1"/>
    <x v="1"/>
    <x v="6"/>
    <x v="125"/>
    <x v="21"/>
    <x v="1"/>
    <n v="5.77"/>
    <n v="0"/>
    <x v="4"/>
    <s v="DOMINIO"/>
    <x v="0"/>
    <m/>
    <m/>
    <n v="80"/>
    <n v="80"/>
    <n v="90"/>
  </r>
  <r>
    <x v="1"/>
    <x v="1"/>
    <x v="6"/>
    <x v="127"/>
    <x v="21"/>
    <x v="1"/>
    <n v="5.01"/>
    <n v="0"/>
    <x v="4"/>
    <s v="DOMINIO"/>
    <x v="1"/>
    <m/>
    <m/>
    <n v="70"/>
    <n v="70"/>
    <n v="78.75"/>
  </r>
  <r>
    <x v="1"/>
    <x v="1"/>
    <x v="6"/>
    <x v="130"/>
    <x v="20"/>
    <x v="1"/>
    <n v="4.95"/>
    <n v="0"/>
    <x v="4"/>
    <s v="DOMINIO"/>
    <x v="0"/>
    <m/>
    <m/>
    <n v="80"/>
    <n v="80"/>
    <n v="90"/>
  </r>
  <r>
    <x v="1"/>
    <x v="1"/>
    <x v="6"/>
    <x v="132"/>
    <x v="20"/>
    <x v="1"/>
    <n v="4.4000000000000004"/>
    <n v="0"/>
    <x v="4"/>
    <s v="DOMINIO"/>
    <x v="1"/>
    <m/>
    <m/>
    <n v="70"/>
    <n v="70"/>
    <n v="78.75"/>
  </r>
  <r>
    <x v="1"/>
    <x v="1"/>
    <x v="6"/>
    <x v="142"/>
    <x v="20"/>
    <x v="1"/>
    <n v="4.75"/>
    <n v="0"/>
    <x v="4"/>
    <s v="DOMINIO"/>
    <x v="0"/>
    <m/>
    <m/>
    <n v="80"/>
    <n v="80"/>
    <n v="90"/>
  </r>
  <r>
    <x v="1"/>
    <x v="1"/>
    <x v="6"/>
    <x v="145"/>
    <x v="20"/>
    <x v="1"/>
    <n v="4.76"/>
    <n v="0"/>
    <x v="4"/>
    <s v="DOMINIO"/>
    <x v="0"/>
    <m/>
    <m/>
    <n v="80"/>
    <n v="80"/>
    <n v="90"/>
  </r>
  <r>
    <x v="1"/>
    <x v="1"/>
    <x v="6"/>
    <x v="173"/>
    <x v="20"/>
    <x v="1"/>
    <n v="4.66"/>
    <n v="0"/>
    <x v="4"/>
    <s v="DOMINIO"/>
    <x v="0"/>
    <m/>
    <m/>
    <n v="80"/>
    <n v="80"/>
    <n v="90"/>
  </r>
  <r>
    <x v="1"/>
    <x v="1"/>
    <x v="6"/>
    <x v="157"/>
    <x v="7"/>
    <x v="1"/>
    <n v="6.01"/>
    <n v="0"/>
    <x v="4"/>
    <s v="DOMINIO"/>
    <x v="0"/>
    <m/>
    <m/>
    <n v="80"/>
    <n v="80"/>
    <n v="90"/>
  </r>
  <r>
    <x v="1"/>
    <x v="1"/>
    <x v="6"/>
    <x v="160"/>
    <x v="8"/>
    <x v="1"/>
    <n v="6.01"/>
    <n v="0"/>
    <x v="4"/>
    <s v="DOMINIO"/>
    <x v="0"/>
    <m/>
    <m/>
    <n v="80"/>
    <n v="80"/>
    <n v="90"/>
  </r>
  <r>
    <x v="1"/>
    <x v="1"/>
    <x v="6"/>
    <x v="162"/>
    <x v="8"/>
    <x v="1"/>
    <n v="3.61"/>
    <n v="0"/>
    <x v="4"/>
    <s v="DOMINIO"/>
    <x v="1"/>
    <m/>
    <m/>
    <n v="60"/>
    <n v="60"/>
    <n v="67.5"/>
  </r>
  <r>
    <x v="1"/>
    <x v="1"/>
    <x v="6"/>
    <x v="178"/>
    <x v="9"/>
    <x v="1"/>
    <n v="3.61"/>
    <n v="0"/>
    <x v="4"/>
    <s v="DOMINIO"/>
    <x v="1"/>
    <m/>
    <m/>
    <n v="60"/>
    <n v="60"/>
    <n v="67.5"/>
  </r>
  <r>
    <x v="1"/>
    <x v="2"/>
    <x v="7"/>
    <x v="167"/>
    <x v="20"/>
    <x v="1"/>
    <n v="12.5"/>
    <n v="0"/>
    <x v="4"/>
    <s v="DOMINIO"/>
    <x v="0"/>
    <s v="E - 28"/>
    <m/>
    <n v="280"/>
    <n v="280"/>
    <n v="315"/>
  </r>
  <r>
    <x v="1"/>
    <x v="2"/>
    <x v="7"/>
    <x v="124"/>
    <x v="20"/>
    <x v="1"/>
    <n v="12.5"/>
    <n v="0"/>
    <x v="4"/>
    <s v="DOMINIO"/>
    <x v="0"/>
    <s v="E - 27"/>
    <m/>
    <n v="280"/>
    <n v="280"/>
    <n v="315"/>
  </r>
  <r>
    <x v="1"/>
    <x v="2"/>
    <x v="7"/>
    <x v="127"/>
    <x v="20"/>
    <x v="1"/>
    <n v="12.5"/>
    <n v="0"/>
    <x v="4"/>
    <s v="DOMINIO"/>
    <x v="0"/>
    <s v="E - 32"/>
    <m/>
    <n v="280"/>
    <n v="280"/>
    <n v="315"/>
  </r>
  <r>
    <x v="1"/>
    <x v="2"/>
    <x v="7"/>
    <x v="276"/>
    <x v="20"/>
    <x v="1"/>
    <n v="12.5"/>
    <n v="0"/>
    <x v="4"/>
    <s v="DOMINIO"/>
    <x v="0"/>
    <s v="E - 31"/>
    <m/>
    <n v="280"/>
    <n v="280"/>
    <n v="315"/>
  </r>
  <r>
    <x v="1"/>
    <x v="2"/>
    <x v="7"/>
    <x v="196"/>
    <x v="21"/>
    <x v="1"/>
    <n v="12.5"/>
    <n v="0"/>
    <x v="4"/>
    <s v="DOMINIO"/>
    <x v="0"/>
    <s v="E - 106"/>
    <m/>
    <n v="280"/>
    <n v="280"/>
    <n v="315"/>
  </r>
  <r>
    <x v="1"/>
    <x v="2"/>
    <x v="7"/>
    <x v="197"/>
    <x v="21"/>
    <x v="1"/>
    <n v="12.5"/>
    <n v="0"/>
    <x v="4"/>
    <s v="DOMINIO"/>
    <x v="0"/>
    <s v="E - 105"/>
    <m/>
    <n v="280"/>
    <n v="280"/>
    <n v="315"/>
  </r>
  <r>
    <x v="1"/>
    <x v="2"/>
    <x v="7"/>
    <x v="198"/>
    <x v="21"/>
    <x v="1"/>
    <n v="12.5"/>
    <n v="0"/>
    <x v="4"/>
    <s v="DOMINIO"/>
    <x v="0"/>
    <s v="E - 108"/>
    <m/>
    <n v="280"/>
    <n v="280"/>
    <n v="315"/>
  </r>
  <r>
    <x v="1"/>
    <x v="2"/>
    <x v="7"/>
    <x v="199"/>
    <x v="21"/>
    <x v="1"/>
    <n v="12.5"/>
    <n v="0"/>
    <x v="4"/>
    <s v="DOMINIO"/>
    <x v="0"/>
    <s v="E - 107"/>
    <m/>
    <n v="280"/>
    <n v="280"/>
    <n v="315"/>
  </r>
  <r>
    <x v="1"/>
    <x v="2"/>
    <x v="7"/>
    <x v="200"/>
    <x v="21"/>
    <x v="1"/>
    <n v="12.5"/>
    <n v="0"/>
    <x v="4"/>
    <s v="DOMINIO"/>
    <x v="0"/>
    <s v="E - 110"/>
    <m/>
    <n v="280"/>
    <n v="280"/>
    <n v="315"/>
  </r>
  <r>
    <x v="1"/>
    <x v="2"/>
    <x v="7"/>
    <x v="201"/>
    <x v="21"/>
    <x v="1"/>
    <n v="12.5"/>
    <n v="0"/>
    <x v="4"/>
    <s v="DOMINIO"/>
    <x v="0"/>
    <s v="E - 109"/>
    <m/>
    <n v="280"/>
    <n v="280"/>
    <n v="315"/>
  </r>
  <r>
    <x v="1"/>
    <x v="2"/>
    <x v="7"/>
    <x v="202"/>
    <x v="21"/>
    <x v="1"/>
    <n v="12.5"/>
    <n v="0"/>
    <x v="4"/>
    <s v="DOMINIO"/>
    <x v="0"/>
    <s v="E - 112"/>
    <m/>
    <n v="280"/>
    <n v="280"/>
    <n v="315"/>
  </r>
  <r>
    <x v="1"/>
    <x v="2"/>
    <x v="7"/>
    <x v="203"/>
    <x v="21"/>
    <x v="1"/>
    <n v="12.5"/>
    <n v="0"/>
    <x v="4"/>
    <s v="DOMINIO"/>
    <x v="0"/>
    <s v="B - 24"/>
    <m/>
    <n v="280"/>
    <n v="280"/>
    <n v="315"/>
  </r>
  <r>
    <x v="1"/>
    <x v="2"/>
    <x v="7"/>
    <x v="212"/>
    <x v="21"/>
    <x v="1"/>
    <n v="12.5"/>
    <n v="0"/>
    <x v="4"/>
    <s v="DOMINIO"/>
    <x v="1"/>
    <m/>
    <m/>
    <n v="420"/>
    <n v="420"/>
    <n v="472.5"/>
  </r>
  <r>
    <x v="1"/>
    <x v="4"/>
    <x v="9"/>
    <x v="103"/>
    <x v="6"/>
    <x v="0"/>
    <n v="52.95"/>
    <n v="0"/>
    <x v="6"/>
    <s v="DOMINIO"/>
    <x v="0"/>
    <m/>
    <m/>
    <n v="3818"/>
    <n v="3818"/>
    <n v="4295.2499999999991"/>
  </r>
  <r>
    <x v="1"/>
    <x v="4"/>
    <x v="9"/>
    <x v="104"/>
    <x v="6"/>
    <x v="0"/>
    <n v="57.07"/>
    <n v="0"/>
    <x v="6"/>
    <s v="DOMINIO"/>
    <x v="0"/>
    <m/>
    <m/>
    <n v="4115"/>
    <n v="4115"/>
    <n v="4629.375"/>
  </r>
  <r>
    <x v="1"/>
    <x v="4"/>
    <x v="9"/>
    <x v="105"/>
    <x v="6"/>
    <x v="0"/>
    <n v="57.29"/>
    <n v="0"/>
    <x v="6"/>
    <s v="DOMINIO"/>
    <x v="0"/>
    <m/>
    <m/>
    <n v="4131"/>
    <n v="4131"/>
    <n v="4647.375"/>
  </r>
  <r>
    <x v="1"/>
    <x v="4"/>
    <x v="9"/>
    <x v="107"/>
    <x v="6"/>
    <x v="0"/>
    <n v="56.54"/>
    <n v="0"/>
    <x v="6"/>
    <s v="DOMINIO"/>
    <x v="0"/>
    <m/>
    <m/>
    <n v="4077"/>
    <n v="4077"/>
    <n v="4586.625"/>
  </r>
  <r>
    <x v="2"/>
    <x v="0"/>
    <x v="0"/>
    <x v="197"/>
    <x v="6"/>
    <x v="0"/>
    <n v="31.35"/>
    <n v="3.05"/>
    <x v="3"/>
    <s v="DOMINIO"/>
    <x v="0"/>
    <m/>
    <m/>
    <n v="2310"/>
    <n v="1963.5"/>
    <n v="2208.9375"/>
  </r>
  <r>
    <x v="2"/>
    <x v="0"/>
    <x v="0"/>
    <x v="277"/>
    <x v="3"/>
    <x v="0"/>
    <n v="31.35"/>
    <n v="3.05"/>
    <x v="0"/>
    <s v="DOMINIO"/>
    <x v="0"/>
    <m/>
    <m/>
    <n v="2310"/>
    <n v="1963.5"/>
    <n v="2208.9375"/>
  </r>
  <r>
    <x v="2"/>
    <x v="0"/>
    <x v="0"/>
    <x v="278"/>
    <x v="0"/>
    <x v="0"/>
    <n v="31.35"/>
    <n v="3.05"/>
    <x v="0"/>
    <s v="DOMINIO"/>
    <x v="0"/>
    <m/>
    <m/>
    <n v="2322"/>
    <n v="1973.7"/>
    <n v="2220.4124999999999"/>
  </r>
  <r>
    <x v="2"/>
    <x v="0"/>
    <x v="0"/>
    <x v="279"/>
    <x v="0"/>
    <x v="0"/>
    <n v="31.35"/>
    <n v="3.05"/>
    <x v="3"/>
    <s v="DOMINIO"/>
    <x v="0"/>
    <m/>
    <m/>
    <n v="2379"/>
    <n v="2022.1499999999999"/>
    <n v="2274.9187499999998"/>
  </r>
  <r>
    <x v="2"/>
    <x v="0"/>
    <x v="0"/>
    <x v="280"/>
    <x v="4"/>
    <x v="0"/>
    <n v="31.35"/>
    <n v="3.05"/>
    <x v="0"/>
    <s v="DOMINIO"/>
    <x v="0"/>
    <m/>
    <m/>
    <n v="2333"/>
    <n v="1983.05"/>
    <n v="2230.9312499999996"/>
  </r>
  <r>
    <x v="2"/>
    <x v="0"/>
    <x v="0"/>
    <x v="281"/>
    <x v="4"/>
    <x v="0"/>
    <n v="31.35"/>
    <n v="3.05"/>
    <x v="3"/>
    <s v="DOMINIO"/>
    <x v="0"/>
    <m/>
    <m/>
    <n v="2391"/>
    <n v="2032.35"/>
    <n v="2286.3937499999997"/>
  </r>
  <r>
    <x v="2"/>
    <x v="0"/>
    <x v="0"/>
    <x v="282"/>
    <x v="7"/>
    <x v="0"/>
    <n v="31.35"/>
    <n v="3.05"/>
    <x v="0"/>
    <s v="DOMINIO"/>
    <x v="0"/>
    <m/>
    <m/>
    <n v="2345"/>
    <n v="1993.25"/>
    <n v="2242.40625"/>
  </r>
  <r>
    <x v="2"/>
    <x v="0"/>
    <x v="0"/>
    <x v="283"/>
    <x v="7"/>
    <x v="0"/>
    <n v="31.35"/>
    <n v="3.05"/>
    <x v="3"/>
    <s v="DOMINIO"/>
    <x v="0"/>
    <m/>
    <m/>
    <n v="2402"/>
    <n v="2041.7"/>
    <n v="2296.9124999999999"/>
  </r>
  <r>
    <x v="2"/>
    <x v="0"/>
    <x v="0"/>
    <x v="284"/>
    <x v="8"/>
    <x v="0"/>
    <n v="31.35"/>
    <n v="3.05"/>
    <x v="0"/>
    <s v="DOMINIO"/>
    <x v="0"/>
    <m/>
    <m/>
    <n v="2356"/>
    <n v="2002.6"/>
    <n v="2252.9249999999997"/>
  </r>
  <r>
    <x v="2"/>
    <x v="0"/>
    <x v="0"/>
    <x v="285"/>
    <x v="8"/>
    <x v="0"/>
    <n v="31.35"/>
    <n v="3.05"/>
    <x v="3"/>
    <s v="DOMINIO"/>
    <x v="0"/>
    <m/>
    <m/>
    <n v="2414"/>
    <n v="2051.9"/>
    <n v="2308.3874999999998"/>
  </r>
  <r>
    <x v="2"/>
    <x v="0"/>
    <x v="0"/>
    <x v="75"/>
    <x v="9"/>
    <x v="0"/>
    <n v="31.35"/>
    <n v="3.05"/>
    <x v="0"/>
    <s v="DOMINIO"/>
    <x v="0"/>
    <m/>
    <m/>
    <n v="2368"/>
    <n v="2012.8"/>
    <n v="2264.3999999999996"/>
  </r>
  <r>
    <x v="2"/>
    <x v="0"/>
    <x v="0"/>
    <x v="286"/>
    <x v="9"/>
    <x v="0"/>
    <n v="31.35"/>
    <n v="3.05"/>
    <x v="3"/>
    <s v="DOMINIO"/>
    <x v="0"/>
    <m/>
    <m/>
    <n v="2425"/>
    <n v="2061.25"/>
    <n v="2318.90625"/>
  </r>
  <r>
    <x v="2"/>
    <x v="0"/>
    <x v="0"/>
    <x v="77"/>
    <x v="5"/>
    <x v="0"/>
    <n v="31.35"/>
    <n v="3.05"/>
    <x v="0"/>
    <s v="DOMINIO"/>
    <x v="0"/>
    <m/>
    <m/>
    <n v="2379"/>
    <n v="2022.1499999999999"/>
    <n v="2274.9187499999998"/>
  </r>
  <r>
    <x v="2"/>
    <x v="0"/>
    <x v="0"/>
    <x v="287"/>
    <x v="5"/>
    <x v="0"/>
    <n v="31.35"/>
    <n v="3.05"/>
    <x v="3"/>
    <s v="DOMINIO"/>
    <x v="0"/>
    <m/>
    <m/>
    <n v="2437"/>
    <n v="2071.4499999999998"/>
    <n v="2330.3812499999995"/>
  </r>
  <r>
    <x v="2"/>
    <x v="0"/>
    <x v="0"/>
    <x v="79"/>
    <x v="10"/>
    <x v="0"/>
    <n v="31.35"/>
    <n v="3.05"/>
    <x v="0"/>
    <s v="DOMINIO"/>
    <x v="0"/>
    <m/>
    <m/>
    <n v="2391"/>
    <n v="2032.35"/>
    <n v="2286.3937499999997"/>
  </r>
  <r>
    <x v="2"/>
    <x v="0"/>
    <x v="0"/>
    <x v="288"/>
    <x v="10"/>
    <x v="0"/>
    <n v="31.35"/>
    <n v="3.05"/>
    <x v="3"/>
    <s v="DOMINIO"/>
    <x v="0"/>
    <m/>
    <m/>
    <n v="2448"/>
    <n v="2080.7999999999997"/>
    <n v="2340.8999999999996"/>
  </r>
  <r>
    <x v="2"/>
    <x v="0"/>
    <x v="0"/>
    <x v="81"/>
    <x v="11"/>
    <x v="0"/>
    <n v="31.35"/>
    <n v="3.05"/>
    <x v="0"/>
    <s v="DOMINIO"/>
    <x v="0"/>
    <m/>
    <m/>
    <n v="2402"/>
    <n v="2041.7"/>
    <n v="2296.9124999999999"/>
  </r>
  <r>
    <x v="2"/>
    <x v="0"/>
    <x v="0"/>
    <x v="289"/>
    <x v="11"/>
    <x v="0"/>
    <n v="31.35"/>
    <n v="3.05"/>
    <x v="3"/>
    <s v="DOMINIO"/>
    <x v="0"/>
    <m/>
    <m/>
    <n v="2460"/>
    <n v="2091"/>
    <n v="2352.375"/>
  </r>
  <r>
    <x v="2"/>
    <x v="0"/>
    <x v="3"/>
    <x v="195"/>
    <x v="6"/>
    <x v="0"/>
    <n v="38.18"/>
    <n v="2.38"/>
    <x v="3"/>
    <s v="DOMINIO"/>
    <x v="0"/>
    <m/>
    <m/>
    <n v="2502"/>
    <n v="2126.6999999999998"/>
    <n v="2392.5374999999995"/>
  </r>
  <r>
    <x v="2"/>
    <x v="0"/>
    <x v="3"/>
    <x v="203"/>
    <x v="6"/>
    <x v="0"/>
    <n v="38.18"/>
    <n v="2.38"/>
    <x v="1"/>
    <s v="DOMINIO"/>
    <x v="0"/>
    <m/>
    <m/>
    <n v="2479"/>
    <n v="2107.15"/>
    <n v="2370.5437499999998"/>
  </r>
  <r>
    <x v="2"/>
    <x v="0"/>
    <x v="3"/>
    <x v="204"/>
    <x v="6"/>
    <x v="0"/>
    <n v="38.18"/>
    <n v="2.38"/>
    <x v="2"/>
    <s v="DOMINIO"/>
    <x v="0"/>
    <m/>
    <m/>
    <n v="2456"/>
    <n v="2087.6"/>
    <n v="2348.5499999999997"/>
  </r>
  <r>
    <x v="2"/>
    <x v="0"/>
    <x v="3"/>
    <x v="206"/>
    <x v="6"/>
    <x v="0"/>
    <n v="37.35"/>
    <n v="2.38"/>
    <x v="2"/>
    <s v="DOMINIO"/>
    <x v="0"/>
    <m/>
    <m/>
    <n v="2456"/>
    <n v="2087.6"/>
    <n v="2348.5499999999997"/>
  </r>
  <r>
    <x v="2"/>
    <x v="0"/>
    <x v="3"/>
    <x v="290"/>
    <x v="3"/>
    <x v="0"/>
    <n v="38.18"/>
    <n v="2.38"/>
    <x v="0"/>
    <s v="DOMINIO"/>
    <x v="0"/>
    <m/>
    <m/>
    <n v="2502"/>
    <n v="2126.6999999999998"/>
    <n v="2392.5374999999995"/>
  </r>
  <r>
    <x v="2"/>
    <x v="0"/>
    <x v="3"/>
    <x v="291"/>
    <x v="3"/>
    <x v="0"/>
    <n v="37.35"/>
    <n v="2.38"/>
    <x v="3"/>
    <s v="DOMINIO"/>
    <x v="0"/>
    <m/>
    <m/>
    <n v="2560"/>
    <n v="2176"/>
    <n v="2448"/>
  </r>
  <r>
    <x v="2"/>
    <x v="0"/>
    <x v="3"/>
    <x v="292"/>
    <x v="3"/>
    <x v="0"/>
    <n v="37.270000000000003"/>
    <n v="2.2799999999999998"/>
    <x v="1"/>
    <s v="DOMINIO"/>
    <x v="0"/>
    <m/>
    <m/>
    <n v="2537"/>
    <n v="2156.4499999999998"/>
    <n v="2426.0062499999995"/>
  </r>
  <r>
    <x v="2"/>
    <x v="0"/>
    <x v="3"/>
    <x v="293"/>
    <x v="3"/>
    <x v="0"/>
    <n v="38.18"/>
    <n v="2.38"/>
    <x v="1"/>
    <s v="DOMINIO"/>
    <x v="0"/>
    <m/>
    <m/>
    <n v="2537"/>
    <n v="2156.4499999999998"/>
    <n v="2426.0062499999995"/>
  </r>
  <r>
    <x v="2"/>
    <x v="0"/>
    <x v="3"/>
    <x v="294"/>
    <x v="3"/>
    <x v="0"/>
    <n v="38.18"/>
    <n v="2.38"/>
    <x v="2"/>
    <s v="DOMINIO"/>
    <x v="0"/>
    <m/>
    <m/>
    <n v="2514"/>
    <n v="2136.9"/>
    <n v="2404.0124999999998"/>
  </r>
  <r>
    <x v="2"/>
    <x v="0"/>
    <x v="3"/>
    <x v="295"/>
    <x v="3"/>
    <x v="0"/>
    <n v="37.35"/>
    <n v="2.38"/>
    <x v="2"/>
    <s v="DOMINIO"/>
    <x v="0"/>
    <m/>
    <m/>
    <n v="2514"/>
    <n v="2136.9"/>
    <n v="2404.0124999999998"/>
  </r>
  <r>
    <x v="2"/>
    <x v="0"/>
    <x v="3"/>
    <x v="296"/>
    <x v="3"/>
    <x v="0"/>
    <n v="37.340000000000003"/>
    <n v="2.38"/>
    <x v="0"/>
    <s v="DOMINIO"/>
    <x v="0"/>
    <m/>
    <m/>
    <n v="2502"/>
    <n v="2126.6999999999998"/>
    <n v="2392.5374999999995"/>
  </r>
  <r>
    <x v="2"/>
    <x v="0"/>
    <x v="3"/>
    <x v="297"/>
    <x v="3"/>
    <x v="0"/>
    <n v="37.35"/>
    <n v="2.38"/>
    <x v="0"/>
    <s v="DOMINIO"/>
    <x v="0"/>
    <m/>
    <m/>
    <n v="2502"/>
    <n v="2126.6999999999998"/>
    <n v="2392.5374999999995"/>
  </r>
  <r>
    <x v="2"/>
    <x v="0"/>
    <x v="3"/>
    <x v="298"/>
    <x v="0"/>
    <x v="0"/>
    <n v="38.18"/>
    <n v="2.38"/>
    <x v="3"/>
    <s v="DOMINIO"/>
    <x v="0"/>
    <m/>
    <m/>
    <n v="2571"/>
    <n v="2185.35"/>
    <n v="2458.5187499999997"/>
  </r>
  <r>
    <x v="2"/>
    <x v="0"/>
    <x v="3"/>
    <x v="299"/>
    <x v="0"/>
    <x v="0"/>
    <n v="37.35"/>
    <n v="2.38"/>
    <x v="3"/>
    <s v="DOMINIO"/>
    <x v="0"/>
    <m/>
    <m/>
    <n v="2571"/>
    <n v="2185.35"/>
    <n v="2458.5187499999997"/>
  </r>
  <r>
    <x v="2"/>
    <x v="0"/>
    <x v="3"/>
    <x v="300"/>
    <x v="0"/>
    <x v="0"/>
    <n v="37.270000000000003"/>
    <n v="2.2799999999999998"/>
    <x v="1"/>
    <s v="DOMINIO"/>
    <x v="0"/>
    <m/>
    <m/>
    <n v="2548"/>
    <n v="2165.7999999999997"/>
    <n v="2436.5249999999996"/>
  </r>
  <r>
    <x v="2"/>
    <x v="0"/>
    <x v="3"/>
    <x v="301"/>
    <x v="0"/>
    <x v="0"/>
    <n v="38.18"/>
    <n v="2.38"/>
    <x v="1"/>
    <s v="DOMINIO"/>
    <x v="0"/>
    <m/>
    <m/>
    <n v="2548"/>
    <n v="2165.7999999999997"/>
    <n v="2436.5249999999996"/>
  </r>
  <r>
    <x v="2"/>
    <x v="0"/>
    <x v="3"/>
    <x v="229"/>
    <x v="0"/>
    <x v="0"/>
    <n v="38.18"/>
    <n v="2.38"/>
    <x v="2"/>
    <s v="DOMINIO"/>
    <x v="0"/>
    <m/>
    <m/>
    <n v="2525"/>
    <n v="2146.25"/>
    <n v="2414.53125"/>
  </r>
  <r>
    <x v="2"/>
    <x v="0"/>
    <x v="3"/>
    <x v="302"/>
    <x v="0"/>
    <x v="0"/>
    <n v="37.35"/>
    <n v="2.38"/>
    <x v="2"/>
    <s v="DOMINIO"/>
    <x v="0"/>
    <m/>
    <m/>
    <n v="2525"/>
    <n v="2146.25"/>
    <n v="2414.53125"/>
  </r>
  <r>
    <x v="2"/>
    <x v="0"/>
    <x v="3"/>
    <x v="303"/>
    <x v="0"/>
    <x v="0"/>
    <n v="37.340000000000003"/>
    <n v="2.38"/>
    <x v="0"/>
    <s v="DOMINIO"/>
    <x v="0"/>
    <m/>
    <m/>
    <n v="2514"/>
    <n v="2136.9"/>
    <n v="2404.0124999999998"/>
  </r>
  <r>
    <x v="2"/>
    <x v="0"/>
    <x v="3"/>
    <x v="0"/>
    <x v="0"/>
    <x v="0"/>
    <n v="37.35"/>
    <n v="2.38"/>
    <x v="0"/>
    <s v="DOMINIO"/>
    <x v="0"/>
    <m/>
    <m/>
    <n v="2514"/>
    <n v="2136.9"/>
    <n v="2404.0124999999998"/>
  </r>
  <r>
    <x v="2"/>
    <x v="0"/>
    <x v="3"/>
    <x v="304"/>
    <x v="4"/>
    <x v="0"/>
    <n v="38.18"/>
    <n v="2.38"/>
    <x v="0"/>
    <s v="DOMINIO"/>
    <x v="0"/>
    <m/>
    <m/>
    <n v="2525"/>
    <n v="2146.25"/>
    <n v="2414.53125"/>
  </r>
  <r>
    <x v="2"/>
    <x v="0"/>
    <x v="3"/>
    <x v="238"/>
    <x v="4"/>
    <x v="0"/>
    <n v="38.18"/>
    <n v="2.38"/>
    <x v="3"/>
    <s v="DOMINIO"/>
    <x v="0"/>
    <m/>
    <m/>
    <n v="2583"/>
    <n v="2195.5499999999997"/>
    <n v="2469.9937499999996"/>
  </r>
  <r>
    <x v="2"/>
    <x v="0"/>
    <x v="3"/>
    <x v="305"/>
    <x v="4"/>
    <x v="0"/>
    <n v="37.35"/>
    <n v="2.38"/>
    <x v="3"/>
    <s v="DOMINIO"/>
    <x v="0"/>
    <m/>
    <m/>
    <n v="2583"/>
    <n v="2195.5499999999997"/>
    <n v="2469.9937499999996"/>
  </r>
  <r>
    <x v="2"/>
    <x v="0"/>
    <x v="3"/>
    <x v="306"/>
    <x v="4"/>
    <x v="0"/>
    <n v="37.270000000000003"/>
    <n v="2.2799999999999998"/>
    <x v="1"/>
    <s v="DOMINIO"/>
    <x v="0"/>
    <m/>
    <m/>
    <n v="2560"/>
    <n v="2176"/>
    <n v="2448"/>
  </r>
  <r>
    <x v="2"/>
    <x v="0"/>
    <x v="3"/>
    <x v="307"/>
    <x v="4"/>
    <x v="0"/>
    <n v="38.18"/>
    <n v="2.38"/>
    <x v="1"/>
    <s v="DOMINIO"/>
    <x v="0"/>
    <m/>
    <m/>
    <n v="2560"/>
    <n v="2176"/>
    <n v="2448"/>
  </r>
  <r>
    <x v="2"/>
    <x v="0"/>
    <x v="3"/>
    <x v="308"/>
    <x v="4"/>
    <x v="0"/>
    <n v="38.18"/>
    <n v="2.38"/>
    <x v="2"/>
    <s v="DOMINIO"/>
    <x v="0"/>
    <m/>
    <m/>
    <n v="2537"/>
    <n v="2156.4499999999998"/>
    <n v="2426.0062499999995"/>
  </r>
  <r>
    <x v="2"/>
    <x v="0"/>
    <x v="3"/>
    <x v="309"/>
    <x v="4"/>
    <x v="0"/>
    <n v="37.35"/>
    <n v="2.38"/>
    <x v="2"/>
    <s v="DOMINIO"/>
    <x v="0"/>
    <m/>
    <m/>
    <n v="2537"/>
    <n v="2156.4499999999998"/>
    <n v="2426.0062499999995"/>
  </r>
  <r>
    <x v="2"/>
    <x v="0"/>
    <x v="3"/>
    <x v="310"/>
    <x v="4"/>
    <x v="0"/>
    <n v="37.340000000000003"/>
    <n v="2.38"/>
    <x v="0"/>
    <s v="DOMINIO"/>
    <x v="0"/>
    <m/>
    <m/>
    <n v="2525"/>
    <n v="2146.25"/>
    <n v="2414.53125"/>
  </r>
  <r>
    <x v="2"/>
    <x v="0"/>
    <x v="3"/>
    <x v="251"/>
    <x v="4"/>
    <x v="0"/>
    <n v="37.35"/>
    <n v="2.38"/>
    <x v="0"/>
    <s v="DOMINIO"/>
    <x v="0"/>
    <m/>
    <m/>
    <n v="2525"/>
    <n v="2146.25"/>
    <n v="2414.53125"/>
  </r>
  <r>
    <x v="2"/>
    <x v="0"/>
    <x v="3"/>
    <x v="311"/>
    <x v="7"/>
    <x v="0"/>
    <n v="38.18"/>
    <n v="2.38"/>
    <x v="0"/>
    <s v="DOMINIO"/>
    <x v="0"/>
    <m/>
    <m/>
    <n v="2537"/>
    <n v="2156.4499999999998"/>
    <n v="2426.0062499999995"/>
  </r>
  <r>
    <x v="2"/>
    <x v="0"/>
    <x v="3"/>
    <x v="312"/>
    <x v="7"/>
    <x v="0"/>
    <n v="38.18"/>
    <n v="2.38"/>
    <x v="3"/>
    <s v="DOMINIO"/>
    <x v="0"/>
    <m/>
    <m/>
    <n v="2594"/>
    <n v="2204.9"/>
    <n v="2480.5124999999998"/>
  </r>
  <r>
    <x v="2"/>
    <x v="0"/>
    <x v="3"/>
    <x v="313"/>
    <x v="7"/>
    <x v="0"/>
    <n v="37.35"/>
    <n v="2.38"/>
    <x v="3"/>
    <s v="DOMINIO"/>
    <x v="0"/>
    <m/>
    <m/>
    <n v="2594"/>
    <n v="2204.9"/>
    <n v="2480.5124999999998"/>
  </r>
  <r>
    <x v="2"/>
    <x v="0"/>
    <x v="3"/>
    <x v="314"/>
    <x v="7"/>
    <x v="0"/>
    <n v="37.270000000000003"/>
    <n v="2.2799999999999998"/>
    <x v="1"/>
    <s v="DOMINIO"/>
    <x v="0"/>
    <m/>
    <m/>
    <n v="2571"/>
    <n v="2185.35"/>
    <n v="2458.5187499999997"/>
  </r>
  <r>
    <x v="2"/>
    <x v="0"/>
    <x v="3"/>
    <x v="315"/>
    <x v="7"/>
    <x v="0"/>
    <n v="38.18"/>
    <n v="2.38"/>
    <x v="1"/>
    <s v="DOMINIO"/>
    <x v="0"/>
    <m/>
    <m/>
    <n v="2571"/>
    <n v="2185.35"/>
    <n v="2458.5187499999997"/>
  </r>
  <r>
    <x v="2"/>
    <x v="0"/>
    <x v="3"/>
    <x v="11"/>
    <x v="7"/>
    <x v="0"/>
    <n v="38.18"/>
    <n v="2.38"/>
    <x v="2"/>
    <s v="DOMINIO"/>
    <x v="0"/>
    <m/>
    <m/>
    <n v="2548"/>
    <n v="2165.7999999999997"/>
    <n v="2436.5249999999996"/>
  </r>
  <r>
    <x v="2"/>
    <x v="0"/>
    <x v="3"/>
    <x v="316"/>
    <x v="7"/>
    <x v="0"/>
    <n v="37.35"/>
    <n v="2.38"/>
    <x v="2"/>
    <s v="DOMINIO"/>
    <x v="0"/>
    <m/>
    <m/>
    <n v="2548"/>
    <n v="2165.7999999999997"/>
    <n v="2436.5249999999996"/>
  </r>
  <r>
    <x v="2"/>
    <x v="0"/>
    <x v="3"/>
    <x v="317"/>
    <x v="7"/>
    <x v="0"/>
    <n v="37.340000000000003"/>
    <n v="2.38"/>
    <x v="0"/>
    <s v="DOMINIO"/>
    <x v="0"/>
    <m/>
    <m/>
    <n v="2537"/>
    <n v="2156.4499999999998"/>
    <n v="2426.0062499999995"/>
  </r>
  <r>
    <x v="2"/>
    <x v="0"/>
    <x v="3"/>
    <x v="318"/>
    <x v="7"/>
    <x v="0"/>
    <n v="37.35"/>
    <n v="2.38"/>
    <x v="0"/>
    <s v="DOMINIO"/>
    <x v="0"/>
    <m/>
    <m/>
    <n v="2537"/>
    <n v="2156.4499999999998"/>
    <n v="2426.0062499999995"/>
  </r>
  <r>
    <x v="2"/>
    <x v="0"/>
    <x v="3"/>
    <x v="319"/>
    <x v="8"/>
    <x v="0"/>
    <n v="38.18"/>
    <n v="2.38"/>
    <x v="0"/>
    <s v="DOMINIO"/>
    <x v="0"/>
    <m/>
    <m/>
    <n v="2548"/>
    <n v="2165.7999999999997"/>
    <n v="2436.5249999999996"/>
  </r>
  <r>
    <x v="2"/>
    <x v="0"/>
    <x v="3"/>
    <x v="320"/>
    <x v="8"/>
    <x v="0"/>
    <n v="38.18"/>
    <n v="2.38"/>
    <x v="3"/>
    <s v="DOMINIO"/>
    <x v="0"/>
    <m/>
    <m/>
    <n v="2606"/>
    <n v="2215.1"/>
    <n v="2491.9874999999997"/>
  </r>
  <r>
    <x v="2"/>
    <x v="0"/>
    <x v="3"/>
    <x v="321"/>
    <x v="8"/>
    <x v="0"/>
    <n v="37.35"/>
    <n v="2.38"/>
    <x v="3"/>
    <s v="DOMINIO"/>
    <x v="0"/>
    <m/>
    <m/>
    <n v="2606"/>
    <n v="2215.1"/>
    <n v="2491.9874999999997"/>
  </r>
  <r>
    <x v="2"/>
    <x v="0"/>
    <x v="3"/>
    <x v="322"/>
    <x v="8"/>
    <x v="0"/>
    <n v="37.270000000000003"/>
    <n v="2.2799999999999998"/>
    <x v="1"/>
    <s v="DOMINIO"/>
    <x v="0"/>
    <m/>
    <m/>
    <n v="2583"/>
    <n v="2195.5499999999997"/>
    <n v="2469.9937499999996"/>
  </r>
  <r>
    <x v="2"/>
    <x v="0"/>
    <x v="3"/>
    <x v="323"/>
    <x v="8"/>
    <x v="0"/>
    <n v="38.18"/>
    <n v="2.38"/>
    <x v="1"/>
    <s v="DOMINIO"/>
    <x v="0"/>
    <m/>
    <m/>
    <n v="2583"/>
    <n v="2195.5499999999997"/>
    <n v="2469.9937499999996"/>
  </r>
  <r>
    <x v="2"/>
    <x v="0"/>
    <x v="3"/>
    <x v="13"/>
    <x v="8"/>
    <x v="0"/>
    <n v="38.18"/>
    <n v="2.38"/>
    <x v="2"/>
    <s v="DOMINIO"/>
    <x v="0"/>
    <m/>
    <m/>
    <n v="2560"/>
    <n v="2176"/>
    <n v="2448"/>
  </r>
  <r>
    <x v="2"/>
    <x v="0"/>
    <x v="3"/>
    <x v="324"/>
    <x v="8"/>
    <x v="0"/>
    <n v="37.35"/>
    <n v="2.38"/>
    <x v="2"/>
    <s v="DOMINIO"/>
    <x v="0"/>
    <m/>
    <m/>
    <n v="2560"/>
    <n v="2176"/>
    <n v="2448"/>
  </r>
  <r>
    <x v="2"/>
    <x v="0"/>
    <x v="3"/>
    <x v="325"/>
    <x v="8"/>
    <x v="0"/>
    <n v="37.340000000000003"/>
    <n v="2.38"/>
    <x v="0"/>
    <s v="DOMINIO"/>
    <x v="0"/>
    <m/>
    <m/>
    <n v="2548"/>
    <n v="2165.7999999999997"/>
    <n v="2436.5249999999996"/>
  </r>
  <r>
    <x v="2"/>
    <x v="0"/>
    <x v="3"/>
    <x v="326"/>
    <x v="8"/>
    <x v="0"/>
    <n v="37.35"/>
    <n v="2.38"/>
    <x v="0"/>
    <s v="DOMINIO"/>
    <x v="0"/>
    <m/>
    <m/>
    <n v="2548"/>
    <n v="2165.7999999999997"/>
    <n v="2436.5249999999996"/>
  </r>
  <r>
    <x v="2"/>
    <x v="0"/>
    <x v="3"/>
    <x v="327"/>
    <x v="9"/>
    <x v="0"/>
    <n v="38.18"/>
    <n v="2.38"/>
    <x v="0"/>
    <s v="DOMINIO"/>
    <x v="0"/>
    <m/>
    <m/>
    <n v="2560"/>
    <n v="2176"/>
    <n v="2448"/>
  </r>
  <r>
    <x v="2"/>
    <x v="0"/>
    <x v="3"/>
    <x v="328"/>
    <x v="9"/>
    <x v="0"/>
    <n v="38.18"/>
    <n v="2.38"/>
    <x v="3"/>
    <s v="DOMINIO"/>
    <x v="0"/>
    <m/>
    <m/>
    <n v="2617"/>
    <n v="2224.4499999999998"/>
    <n v="2502.5062499999999"/>
  </r>
  <r>
    <x v="2"/>
    <x v="0"/>
    <x v="3"/>
    <x v="329"/>
    <x v="9"/>
    <x v="0"/>
    <n v="37.35"/>
    <n v="2.38"/>
    <x v="3"/>
    <s v="DOMINIO"/>
    <x v="0"/>
    <m/>
    <m/>
    <n v="2617"/>
    <n v="2224.4499999999998"/>
    <n v="2502.5062499999999"/>
  </r>
  <r>
    <x v="2"/>
    <x v="0"/>
    <x v="3"/>
    <x v="330"/>
    <x v="9"/>
    <x v="0"/>
    <n v="37.270000000000003"/>
    <n v="2.2799999999999998"/>
    <x v="1"/>
    <s v="DOMINIO"/>
    <x v="0"/>
    <m/>
    <m/>
    <n v="2594"/>
    <n v="2204.9"/>
    <n v="2480.5124999999998"/>
  </r>
  <r>
    <x v="2"/>
    <x v="0"/>
    <x v="3"/>
    <x v="331"/>
    <x v="9"/>
    <x v="0"/>
    <n v="38.18"/>
    <n v="2.38"/>
    <x v="1"/>
    <s v="DOMINIO"/>
    <x v="0"/>
    <m/>
    <m/>
    <n v="2594"/>
    <n v="2204.9"/>
    <n v="2480.5124999999998"/>
  </r>
  <r>
    <x v="2"/>
    <x v="0"/>
    <x v="3"/>
    <x v="16"/>
    <x v="9"/>
    <x v="0"/>
    <n v="38.18"/>
    <n v="2.38"/>
    <x v="2"/>
    <s v="DOMINIO"/>
    <x v="0"/>
    <m/>
    <m/>
    <n v="2571"/>
    <n v="2185.35"/>
    <n v="2458.5187499999997"/>
  </r>
  <r>
    <x v="2"/>
    <x v="0"/>
    <x v="3"/>
    <x v="332"/>
    <x v="9"/>
    <x v="0"/>
    <n v="37.35"/>
    <n v="2.38"/>
    <x v="2"/>
    <s v="DOMINIO"/>
    <x v="0"/>
    <m/>
    <m/>
    <n v="2571"/>
    <n v="2185.35"/>
    <n v="2458.5187499999997"/>
  </r>
  <r>
    <x v="2"/>
    <x v="0"/>
    <x v="3"/>
    <x v="333"/>
    <x v="9"/>
    <x v="0"/>
    <n v="37.340000000000003"/>
    <n v="2.38"/>
    <x v="0"/>
    <s v="DOMINIO"/>
    <x v="0"/>
    <m/>
    <m/>
    <n v="2560"/>
    <n v="2176"/>
    <n v="2448"/>
  </r>
  <r>
    <x v="2"/>
    <x v="0"/>
    <x v="3"/>
    <x v="334"/>
    <x v="9"/>
    <x v="0"/>
    <n v="37.35"/>
    <n v="2.38"/>
    <x v="0"/>
    <s v="DOMINIO"/>
    <x v="0"/>
    <m/>
    <m/>
    <n v="2560"/>
    <n v="2176"/>
    <n v="2448"/>
  </r>
  <r>
    <x v="2"/>
    <x v="0"/>
    <x v="3"/>
    <x v="335"/>
    <x v="5"/>
    <x v="0"/>
    <n v="38.18"/>
    <n v="2.38"/>
    <x v="0"/>
    <s v="DOMINIO"/>
    <x v="0"/>
    <m/>
    <m/>
    <n v="2571"/>
    <n v="2185.35"/>
    <n v="2458.5187499999997"/>
  </r>
  <r>
    <x v="2"/>
    <x v="0"/>
    <x v="3"/>
    <x v="336"/>
    <x v="5"/>
    <x v="0"/>
    <n v="38.18"/>
    <n v="2.38"/>
    <x v="3"/>
    <s v="DOMINIO"/>
    <x v="0"/>
    <m/>
    <m/>
    <n v="2629"/>
    <n v="2234.65"/>
    <n v="2513.9812499999998"/>
  </r>
  <r>
    <x v="2"/>
    <x v="0"/>
    <x v="3"/>
    <x v="18"/>
    <x v="5"/>
    <x v="0"/>
    <n v="37.35"/>
    <n v="2.38"/>
    <x v="3"/>
    <s v="DOMINIO"/>
    <x v="0"/>
    <m/>
    <m/>
    <n v="2629"/>
    <n v="2234.65"/>
    <n v="2513.9812499999998"/>
  </r>
  <r>
    <x v="2"/>
    <x v="0"/>
    <x v="3"/>
    <x v="337"/>
    <x v="5"/>
    <x v="0"/>
    <n v="37.270000000000003"/>
    <n v="2.2799999999999998"/>
    <x v="1"/>
    <s v="DOMINIO"/>
    <x v="0"/>
    <m/>
    <m/>
    <n v="2606"/>
    <n v="2215.1"/>
    <n v="2491.9874999999997"/>
  </r>
  <r>
    <x v="2"/>
    <x v="0"/>
    <x v="3"/>
    <x v="338"/>
    <x v="5"/>
    <x v="0"/>
    <n v="38.18"/>
    <n v="2.38"/>
    <x v="1"/>
    <s v="DOMINIO"/>
    <x v="0"/>
    <m/>
    <m/>
    <n v="2606"/>
    <n v="2215.1"/>
    <n v="2491.9874999999997"/>
  </r>
  <r>
    <x v="2"/>
    <x v="0"/>
    <x v="3"/>
    <x v="20"/>
    <x v="5"/>
    <x v="0"/>
    <n v="38.18"/>
    <n v="2.38"/>
    <x v="2"/>
    <s v="DOMINIO"/>
    <x v="0"/>
    <m/>
    <m/>
    <n v="2583"/>
    <n v="2195.5499999999997"/>
    <n v="2469.9937499999996"/>
  </r>
  <r>
    <x v="2"/>
    <x v="0"/>
    <x v="3"/>
    <x v="339"/>
    <x v="5"/>
    <x v="0"/>
    <n v="37.35"/>
    <n v="2.38"/>
    <x v="2"/>
    <s v="DOMINIO"/>
    <x v="0"/>
    <m/>
    <m/>
    <n v="2583"/>
    <n v="2195.5499999999997"/>
    <n v="2469.9937499999996"/>
  </r>
  <r>
    <x v="2"/>
    <x v="0"/>
    <x v="3"/>
    <x v="267"/>
    <x v="5"/>
    <x v="0"/>
    <n v="37.340000000000003"/>
    <n v="2.38"/>
    <x v="0"/>
    <s v="DOMINIO"/>
    <x v="0"/>
    <m/>
    <m/>
    <n v="2571"/>
    <n v="2185.35"/>
    <n v="2458.5187499999997"/>
  </r>
  <r>
    <x v="2"/>
    <x v="0"/>
    <x v="3"/>
    <x v="340"/>
    <x v="5"/>
    <x v="0"/>
    <n v="37.35"/>
    <n v="2.38"/>
    <x v="0"/>
    <s v="DOMINIO"/>
    <x v="0"/>
    <m/>
    <m/>
    <n v="2571"/>
    <n v="2185.35"/>
    <n v="2458.5187499999997"/>
  </r>
  <r>
    <x v="2"/>
    <x v="0"/>
    <x v="3"/>
    <x v="240"/>
    <x v="10"/>
    <x v="0"/>
    <n v="38.18"/>
    <n v="2.38"/>
    <x v="0"/>
    <s v="DOMINIO"/>
    <x v="0"/>
    <m/>
    <m/>
    <n v="2583"/>
    <n v="2195.5499999999997"/>
    <n v="2469.9937499999996"/>
  </r>
  <r>
    <x v="2"/>
    <x v="0"/>
    <x v="3"/>
    <x v="241"/>
    <x v="10"/>
    <x v="0"/>
    <n v="38.18"/>
    <n v="2.38"/>
    <x v="3"/>
    <s v="DOMINIO"/>
    <x v="0"/>
    <m/>
    <m/>
    <n v="2640"/>
    <n v="2244"/>
    <n v="2524.4999999999995"/>
  </r>
  <r>
    <x v="2"/>
    <x v="0"/>
    <x v="3"/>
    <x v="22"/>
    <x v="10"/>
    <x v="0"/>
    <n v="37.35"/>
    <n v="2.38"/>
    <x v="3"/>
    <s v="DOMINIO"/>
    <x v="0"/>
    <m/>
    <m/>
    <n v="2640"/>
    <n v="2244"/>
    <n v="2524.4999999999995"/>
  </r>
  <r>
    <x v="2"/>
    <x v="0"/>
    <x v="3"/>
    <x v="341"/>
    <x v="10"/>
    <x v="0"/>
    <n v="37.270000000000003"/>
    <n v="2.2799999999999998"/>
    <x v="1"/>
    <s v="DOMINIO"/>
    <x v="0"/>
    <m/>
    <m/>
    <n v="2617"/>
    <n v="2224.4499999999998"/>
    <n v="2502.5062499999999"/>
  </r>
  <r>
    <x v="2"/>
    <x v="0"/>
    <x v="3"/>
    <x v="342"/>
    <x v="10"/>
    <x v="0"/>
    <n v="38.18"/>
    <n v="2.38"/>
    <x v="1"/>
    <s v="DOMINIO"/>
    <x v="0"/>
    <m/>
    <m/>
    <n v="2617"/>
    <n v="2224.4499999999998"/>
    <n v="2502.5062499999999"/>
  </r>
  <r>
    <x v="2"/>
    <x v="0"/>
    <x v="3"/>
    <x v="24"/>
    <x v="10"/>
    <x v="0"/>
    <n v="38.18"/>
    <n v="2.38"/>
    <x v="2"/>
    <s v="DOMINIO"/>
    <x v="0"/>
    <m/>
    <m/>
    <n v="2594"/>
    <n v="2204.9"/>
    <n v="2480.5124999999998"/>
  </r>
  <r>
    <x v="2"/>
    <x v="0"/>
    <x v="3"/>
    <x v="343"/>
    <x v="10"/>
    <x v="0"/>
    <n v="37.35"/>
    <n v="2.38"/>
    <x v="2"/>
    <s v="DOMINIO"/>
    <x v="0"/>
    <m/>
    <m/>
    <n v="2594"/>
    <n v="2204.9"/>
    <n v="2480.5124999999998"/>
  </r>
  <r>
    <x v="2"/>
    <x v="0"/>
    <x v="3"/>
    <x v="25"/>
    <x v="10"/>
    <x v="0"/>
    <n v="37.340000000000003"/>
    <n v="2.38"/>
    <x v="0"/>
    <s v="DOMINIO"/>
    <x v="0"/>
    <m/>
    <m/>
    <n v="2583"/>
    <n v="2195.5499999999997"/>
    <n v="2469.9937499999996"/>
  </r>
  <r>
    <x v="2"/>
    <x v="0"/>
    <x v="3"/>
    <x v="344"/>
    <x v="10"/>
    <x v="0"/>
    <n v="37.35"/>
    <n v="2.38"/>
    <x v="0"/>
    <s v="DOMINIO"/>
    <x v="0"/>
    <m/>
    <m/>
    <n v="2583"/>
    <n v="2195.5499999999997"/>
    <n v="2469.9937499999996"/>
  </r>
  <r>
    <x v="2"/>
    <x v="0"/>
    <x v="3"/>
    <x v="345"/>
    <x v="11"/>
    <x v="0"/>
    <n v="38.18"/>
    <n v="2.38"/>
    <x v="0"/>
    <s v="DOMINIO"/>
    <x v="0"/>
    <m/>
    <m/>
    <n v="2594"/>
    <n v="2204.9"/>
    <n v="2480.5124999999998"/>
  </r>
  <r>
    <x v="2"/>
    <x v="0"/>
    <x v="3"/>
    <x v="346"/>
    <x v="11"/>
    <x v="0"/>
    <n v="38.18"/>
    <n v="2.38"/>
    <x v="3"/>
    <s v="DOMINIO"/>
    <x v="0"/>
    <m/>
    <m/>
    <n v="2652"/>
    <n v="2254.1999999999998"/>
    <n v="2535.9749999999995"/>
  </r>
  <r>
    <x v="2"/>
    <x v="0"/>
    <x v="3"/>
    <x v="27"/>
    <x v="11"/>
    <x v="0"/>
    <n v="37.35"/>
    <n v="2.38"/>
    <x v="3"/>
    <s v="DOMINIO"/>
    <x v="0"/>
    <m/>
    <m/>
    <n v="2652"/>
    <n v="2254.1999999999998"/>
    <n v="2535.9749999999995"/>
  </r>
  <r>
    <x v="2"/>
    <x v="0"/>
    <x v="3"/>
    <x v="347"/>
    <x v="11"/>
    <x v="0"/>
    <n v="37.270000000000003"/>
    <n v="2.2799999999999998"/>
    <x v="1"/>
    <s v="DOMINIO"/>
    <x v="0"/>
    <m/>
    <m/>
    <n v="2629"/>
    <n v="2234.65"/>
    <n v="2513.9812499999998"/>
  </r>
  <r>
    <x v="2"/>
    <x v="0"/>
    <x v="3"/>
    <x v="348"/>
    <x v="11"/>
    <x v="0"/>
    <n v="38.18"/>
    <n v="2.38"/>
    <x v="1"/>
    <s v="DOMINIO"/>
    <x v="0"/>
    <m/>
    <m/>
    <n v="2629"/>
    <n v="2234.65"/>
    <n v="2513.9812499999998"/>
  </r>
  <r>
    <x v="2"/>
    <x v="0"/>
    <x v="3"/>
    <x v="29"/>
    <x v="11"/>
    <x v="0"/>
    <n v="38.18"/>
    <n v="2.38"/>
    <x v="2"/>
    <s v="DOMINIO"/>
    <x v="0"/>
    <m/>
    <m/>
    <n v="2606"/>
    <n v="2215.1"/>
    <n v="2491.9874999999997"/>
  </r>
  <r>
    <x v="2"/>
    <x v="0"/>
    <x v="3"/>
    <x v="349"/>
    <x v="11"/>
    <x v="0"/>
    <n v="37.35"/>
    <n v="2.38"/>
    <x v="2"/>
    <s v="DOMINIO"/>
    <x v="0"/>
    <m/>
    <m/>
    <n v="2606"/>
    <n v="2215.1"/>
    <n v="2491.9874999999997"/>
  </r>
  <r>
    <x v="2"/>
    <x v="0"/>
    <x v="3"/>
    <x v="30"/>
    <x v="11"/>
    <x v="0"/>
    <n v="37.340000000000003"/>
    <n v="2.38"/>
    <x v="0"/>
    <s v="DOMINIO"/>
    <x v="0"/>
    <m/>
    <m/>
    <n v="2594"/>
    <n v="2204.9"/>
    <n v="2480.5124999999998"/>
  </r>
  <r>
    <x v="2"/>
    <x v="0"/>
    <x v="3"/>
    <x v="350"/>
    <x v="11"/>
    <x v="0"/>
    <n v="37.35"/>
    <n v="2.38"/>
    <x v="0"/>
    <s v="DOMINIO"/>
    <x v="0"/>
    <m/>
    <m/>
    <n v="2594"/>
    <n v="2204.9"/>
    <n v="2480.5124999999998"/>
  </r>
  <r>
    <x v="2"/>
    <x v="0"/>
    <x v="10"/>
    <x v="207"/>
    <x v="6"/>
    <x v="0"/>
    <n v="43.21"/>
    <n v="2.2799999999999998"/>
    <x v="2"/>
    <s v="DOMINIO"/>
    <x v="0"/>
    <m/>
    <m/>
    <n v="2724"/>
    <n v="2315.4"/>
    <n v="2604.8249999999998"/>
  </r>
  <r>
    <x v="2"/>
    <x v="0"/>
    <x v="10"/>
    <x v="351"/>
    <x v="3"/>
    <x v="0"/>
    <n v="43.21"/>
    <n v="2.2799999999999998"/>
    <x v="3"/>
    <s v="DOMINIO"/>
    <x v="0"/>
    <m/>
    <m/>
    <n v="2828"/>
    <n v="2403.7999999999997"/>
    <n v="2704.2749999999992"/>
  </r>
  <r>
    <x v="2"/>
    <x v="0"/>
    <x v="10"/>
    <x v="352"/>
    <x v="3"/>
    <x v="0"/>
    <n v="43.21"/>
    <n v="2.2799999999999998"/>
    <x v="2"/>
    <s v="DOMINIO"/>
    <x v="0"/>
    <m/>
    <m/>
    <n v="2782"/>
    <n v="2364.6999999999998"/>
    <n v="2660.2874999999999"/>
  </r>
  <r>
    <x v="2"/>
    <x v="0"/>
    <x v="10"/>
    <x v="353"/>
    <x v="3"/>
    <x v="0"/>
    <n v="43.21"/>
    <n v="2.2799999999999998"/>
    <x v="0"/>
    <s v="DOMINIO"/>
    <x v="0"/>
    <m/>
    <m/>
    <n v="2770"/>
    <n v="2354.5"/>
    <n v="2648.8125"/>
  </r>
  <r>
    <x v="2"/>
    <x v="0"/>
    <x v="10"/>
    <x v="354"/>
    <x v="0"/>
    <x v="0"/>
    <n v="43.21"/>
    <n v="2.2799999999999998"/>
    <x v="3"/>
    <s v="DOMINIO"/>
    <x v="0"/>
    <m/>
    <m/>
    <n v="2839"/>
    <n v="2413.15"/>
    <n v="2714.7937499999998"/>
  </r>
  <r>
    <x v="2"/>
    <x v="0"/>
    <x v="10"/>
    <x v="355"/>
    <x v="0"/>
    <x v="0"/>
    <n v="43.21"/>
    <n v="2.2799999999999998"/>
    <x v="2"/>
    <s v="DOMINIO"/>
    <x v="0"/>
    <m/>
    <m/>
    <n v="2793"/>
    <n v="2374.0499999999997"/>
    <n v="2670.8062499999992"/>
  </r>
  <r>
    <x v="2"/>
    <x v="0"/>
    <x v="10"/>
    <x v="356"/>
    <x v="0"/>
    <x v="0"/>
    <n v="43.21"/>
    <n v="2.2799999999999998"/>
    <x v="0"/>
    <s v="DOMINIO"/>
    <x v="0"/>
    <m/>
    <m/>
    <n v="2782"/>
    <n v="2364.6999999999998"/>
    <n v="2660.2874999999999"/>
  </r>
  <r>
    <x v="2"/>
    <x v="0"/>
    <x v="10"/>
    <x v="357"/>
    <x v="4"/>
    <x v="0"/>
    <n v="43.21"/>
    <n v="2.2799999999999998"/>
    <x v="3"/>
    <s v="DOMINIO"/>
    <x v="0"/>
    <m/>
    <m/>
    <n v="2851"/>
    <n v="2423.35"/>
    <n v="2726.2687499999997"/>
  </r>
  <r>
    <x v="2"/>
    <x v="0"/>
    <x v="10"/>
    <x v="358"/>
    <x v="4"/>
    <x v="0"/>
    <n v="43.21"/>
    <n v="2.2799999999999998"/>
    <x v="2"/>
    <s v="DOMINIO"/>
    <x v="0"/>
    <m/>
    <m/>
    <n v="2805"/>
    <n v="2384.25"/>
    <n v="2682.2812499999995"/>
  </r>
  <r>
    <x v="2"/>
    <x v="0"/>
    <x v="10"/>
    <x v="359"/>
    <x v="4"/>
    <x v="0"/>
    <n v="43.21"/>
    <n v="2.2799999999999998"/>
    <x v="0"/>
    <s v="DOMINIO"/>
    <x v="0"/>
    <m/>
    <m/>
    <n v="2793"/>
    <n v="2374.0499999999997"/>
    <n v="2670.8062499999992"/>
  </r>
  <r>
    <x v="2"/>
    <x v="0"/>
    <x v="10"/>
    <x v="10"/>
    <x v="7"/>
    <x v="0"/>
    <n v="43.21"/>
    <n v="2.2799999999999998"/>
    <x v="3"/>
    <s v="DOMINIO"/>
    <x v="0"/>
    <m/>
    <m/>
    <n v="2862"/>
    <n v="2432.6999999999998"/>
    <n v="2736.7874999999995"/>
  </r>
  <r>
    <x v="2"/>
    <x v="0"/>
    <x v="10"/>
    <x v="360"/>
    <x v="7"/>
    <x v="0"/>
    <n v="43.21"/>
    <n v="2.2799999999999998"/>
    <x v="2"/>
    <s v="DOMINIO"/>
    <x v="0"/>
    <m/>
    <m/>
    <n v="2816"/>
    <n v="2393.6"/>
    <n v="2692.7999999999997"/>
  </r>
  <r>
    <x v="2"/>
    <x v="0"/>
    <x v="10"/>
    <x v="252"/>
    <x v="7"/>
    <x v="0"/>
    <n v="43.21"/>
    <n v="2.2799999999999998"/>
    <x v="0"/>
    <s v="DOMINIO"/>
    <x v="0"/>
    <m/>
    <m/>
    <n v="2805"/>
    <n v="2384.25"/>
    <n v="2682.2812499999995"/>
  </r>
  <r>
    <x v="2"/>
    <x v="0"/>
    <x v="10"/>
    <x v="12"/>
    <x v="8"/>
    <x v="0"/>
    <n v="43.21"/>
    <n v="2.2799999999999998"/>
    <x v="3"/>
    <s v="DOMINIO"/>
    <x v="0"/>
    <m/>
    <m/>
    <n v="2874"/>
    <n v="2442.9"/>
    <n v="2748.2624999999998"/>
  </r>
  <r>
    <x v="2"/>
    <x v="0"/>
    <x v="10"/>
    <x v="361"/>
    <x v="8"/>
    <x v="0"/>
    <n v="43.21"/>
    <n v="2.2799999999999998"/>
    <x v="2"/>
    <s v="DOMINIO"/>
    <x v="0"/>
    <m/>
    <m/>
    <n v="2828"/>
    <n v="2403.7999999999997"/>
    <n v="2704.2749999999992"/>
  </r>
  <r>
    <x v="2"/>
    <x v="0"/>
    <x v="10"/>
    <x v="362"/>
    <x v="8"/>
    <x v="0"/>
    <n v="43.21"/>
    <n v="2.2799999999999998"/>
    <x v="0"/>
    <s v="DOMINIO"/>
    <x v="0"/>
    <m/>
    <m/>
    <n v="2816"/>
    <n v="2393.6"/>
    <n v="2692.7999999999997"/>
  </r>
  <r>
    <x v="2"/>
    <x v="0"/>
    <x v="10"/>
    <x v="15"/>
    <x v="9"/>
    <x v="0"/>
    <n v="43.21"/>
    <n v="2.2799999999999998"/>
    <x v="3"/>
    <s v="DOMINIO"/>
    <x v="0"/>
    <m/>
    <m/>
    <n v="2885"/>
    <n v="2452.25"/>
    <n v="2758.78125"/>
  </r>
  <r>
    <x v="2"/>
    <x v="0"/>
    <x v="10"/>
    <x v="260"/>
    <x v="9"/>
    <x v="0"/>
    <n v="43.21"/>
    <n v="2.2799999999999998"/>
    <x v="2"/>
    <s v="DOMINIO"/>
    <x v="0"/>
    <m/>
    <m/>
    <n v="2839"/>
    <n v="2413.15"/>
    <n v="2714.7937499999998"/>
  </r>
  <r>
    <x v="2"/>
    <x v="0"/>
    <x v="10"/>
    <x v="363"/>
    <x v="9"/>
    <x v="0"/>
    <n v="43.21"/>
    <n v="2.2799999999999998"/>
    <x v="0"/>
    <s v="DOMINIO"/>
    <x v="0"/>
    <m/>
    <m/>
    <n v="2828"/>
    <n v="2403.7999999999997"/>
    <n v="2704.2749999999992"/>
  </r>
  <r>
    <x v="2"/>
    <x v="0"/>
    <x v="10"/>
    <x v="19"/>
    <x v="5"/>
    <x v="0"/>
    <n v="43.21"/>
    <n v="2.2799999999999998"/>
    <x v="3"/>
    <s v="DOMINIO"/>
    <x v="0"/>
    <m/>
    <m/>
    <n v="2897"/>
    <n v="2462.4499999999998"/>
    <n v="2770.2562499999999"/>
  </r>
  <r>
    <x v="2"/>
    <x v="0"/>
    <x v="10"/>
    <x v="265"/>
    <x v="5"/>
    <x v="0"/>
    <n v="43.21"/>
    <n v="2.2799999999999998"/>
    <x v="2"/>
    <s v="DOMINIO"/>
    <x v="0"/>
    <m/>
    <m/>
    <n v="2851"/>
    <n v="2423.35"/>
    <n v="2726.2687499999997"/>
  </r>
  <r>
    <x v="2"/>
    <x v="0"/>
    <x v="10"/>
    <x v="364"/>
    <x v="5"/>
    <x v="0"/>
    <n v="43.21"/>
    <n v="2.2799999999999998"/>
    <x v="0"/>
    <s v="DOMINIO"/>
    <x v="0"/>
    <m/>
    <m/>
    <n v="2839"/>
    <n v="2413.15"/>
    <n v="2714.7937499999998"/>
  </r>
  <r>
    <x v="2"/>
    <x v="0"/>
    <x v="10"/>
    <x v="23"/>
    <x v="10"/>
    <x v="0"/>
    <n v="43.21"/>
    <n v="2.2799999999999998"/>
    <x v="3"/>
    <s v="DOMINIO"/>
    <x v="0"/>
    <m/>
    <m/>
    <n v="2908"/>
    <n v="2471.7999999999997"/>
    <n v="2780.7749999999996"/>
  </r>
  <r>
    <x v="2"/>
    <x v="0"/>
    <x v="10"/>
    <x v="365"/>
    <x v="10"/>
    <x v="0"/>
    <n v="43.21"/>
    <n v="2.2799999999999998"/>
    <x v="2"/>
    <s v="DOMINIO"/>
    <x v="0"/>
    <m/>
    <m/>
    <n v="2862"/>
    <n v="2432.6999999999998"/>
    <n v="2736.7874999999995"/>
  </r>
  <r>
    <x v="2"/>
    <x v="0"/>
    <x v="10"/>
    <x v="366"/>
    <x v="10"/>
    <x v="0"/>
    <n v="43.21"/>
    <n v="2.2799999999999998"/>
    <x v="0"/>
    <s v="DOMINIO"/>
    <x v="0"/>
    <m/>
    <m/>
    <n v="2851"/>
    <n v="2423.35"/>
    <n v="2726.2687499999997"/>
  </r>
  <r>
    <x v="2"/>
    <x v="0"/>
    <x v="10"/>
    <x v="28"/>
    <x v="11"/>
    <x v="0"/>
    <n v="43.21"/>
    <n v="2.2799999999999998"/>
    <x v="3"/>
    <s v="DOMINIO"/>
    <x v="0"/>
    <m/>
    <m/>
    <n v="2920"/>
    <n v="2482"/>
    <n v="2792.25"/>
  </r>
  <r>
    <x v="2"/>
    <x v="0"/>
    <x v="10"/>
    <x v="367"/>
    <x v="11"/>
    <x v="0"/>
    <n v="43.21"/>
    <n v="2.2799999999999998"/>
    <x v="2"/>
    <s v="DOMINIO"/>
    <x v="0"/>
    <m/>
    <m/>
    <n v="2874"/>
    <n v="2442.9"/>
    <n v="2748.2624999999998"/>
  </r>
  <r>
    <x v="2"/>
    <x v="0"/>
    <x v="10"/>
    <x v="368"/>
    <x v="11"/>
    <x v="0"/>
    <n v="43.21"/>
    <n v="2.2799999999999998"/>
    <x v="0"/>
    <s v="DOMINIO"/>
    <x v="0"/>
    <m/>
    <m/>
    <n v="2862"/>
    <n v="2432.6999999999998"/>
    <n v="2736.7874999999995"/>
  </r>
  <r>
    <x v="2"/>
    <x v="0"/>
    <x v="4"/>
    <x v="202"/>
    <x v="6"/>
    <x v="0"/>
    <n v="43.35"/>
    <n v="2.38"/>
    <x v="1"/>
    <s v="DOMINIO"/>
    <x v="0"/>
    <m/>
    <m/>
    <n v="2662"/>
    <n v="2262.6999999999998"/>
    <n v="2545.5374999999995"/>
  </r>
  <r>
    <x v="2"/>
    <x v="0"/>
    <x v="4"/>
    <x v="205"/>
    <x v="6"/>
    <x v="0"/>
    <n v="43.35"/>
    <n v="2.38"/>
    <x v="2"/>
    <s v="DOMINIO"/>
    <x v="0"/>
    <m/>
    <m/>
    <n v="2639"/>
    <n v="2243.15"/>
    <n v="2523.5437499999998"/>
  </r>
  <r>
    <x v="2"/>
    <x v="0"/>
    <x v="4"/>
    <x v="369"/>
    <x v="3"/>
    <x v="0"/>
    <n v="43.35"/>
    <n v="2.38"/>
    <x v="0"/>
    <s v="DOMINIO"/>
    <x v="0"/>
    <m/>
    <m/>
    <n v="2685"/>
    <n v="2282.25"/>
    <n v="2567.53125"/>
  </r>
  <r>
    <x v="2"/>
    <x v="0"/>
    <x v="4"/>
    <x v="236"/>
    <x v="3"/>
    <x v="0"/>
    <n v="43.35"/>
    <n v="2.38"/>
    <x v="3"/>
    <s v="DOMINIO"/>
    <x v="0"/>
    <m/>
    <m/>
    <n v="2743"/>
    <n v="2331.5499999999997"/>
    <n v="2622.9937499999992"/>
  </r>
  <r>
    <x v="2"/>
    <x v="0"/>
    <x v="4"/>
    <x v="370"/>
    <x v="3"/>
    <x v="0"/>
    <n v="43.35"/>
    <n v="2.38"/>
    <x v="1"/>
    <s v="DOMINIO"/>
    <x v="0"/>
    <m/>
    <m/>
    <n v="2720"/>
    <n v="2312"/>
    <n v="2601"/>
  </r>
  <r>
    <x v="2"/>
    <x v="0"/>
    <x v="4"/>
    <x v="371"/>
    <x v="3"/>
    <x v="0"/>
    <n v="43.35"/>
    <n v="2.38"/>
    <x v="2"/>
    <s v="DOMINIO"/>
    <x v="0"/>
    <m/>
    <m/>
    <n v="2697"/>
    <n v="2292.4499999999998"/>
    <n v="2579.0062499999999"/>
  </r>
  <r>
    <x v="2"/>
    <x v="0"/>
    <x v="4"/>
    <x v="372"/>
    <x v="0"/>
    <x v="0"/>
    <n v="43.35"/>
    <n v="2.38"/>
    <x v="3"/>
    <s v="DOMINIO"/>
    <x v="0"/>
    <m/>
    <m/>
    <n v="2754"/>
    <n v="2340.9"/>
    <n v="2633.5124999999998"/>
  </r>
  <r>
    <x v="2"/>
    <x v="0"/>
    <x v="4"/>
    <x v="373"/>
    <x v="0"/>
    <x v="0"/>
    <n v="43.35"/>
    <n v="2.38"/>
    <x v="2"/>
    <s v="DOMINIO"/>
    <x v="0"/>
    <m/>
    <m/>
    <n v="2708"/>
    <n v="2301.7999999999997"/>
    <n v="2589.5249999999996"/>
  </r>
  <r>
    <x v="2"/>
    <x v="0"/>
    <x v="4"/>
    <x v="374"/>
    <x v="4"/>
    <x v="0"/>
    <n v="43.35"/>
    <n v="2.38"/>
    <x v="0"/>
    <s v="DOMINIO"/>
    <x v="0"/>
    <m/>
    <m/>
    <n v="2708"/>
    <n v="2301.7999999999997"/>
    <n v="2589.5249999999996"/>
  </r>
  <r>
    <x v="2"/>
    <x v="0"/>
    <x v="4"/>
    <x v="375"/>
    <x v="4"/>
    <x v="0"/>
    <n v="43.35"/>
    <n v="2.38"/>
    <x v="1"/>
    <s v="DOMINIO"/>
    <x v="0"/>
    <m/>
    <m/>
    <n v="2743"/>
    <n v="2331.5499999999997"/>
    <n v="2622.9937499999992"/>
  </r>
  <r>
    <x v="2"/>
    <x v="0"/>
    <x v="4"/>
    <x v="9"/>
    <x v="4"/>
    <x v="0"/>
    <n v="43.35"/>
    <n v="2.38"/>
    <x v="2"/>
    <s v="DOMINIO"/>
    <x v="0"/>
    <m/>
    <m/>
    <n v="2720"/>
    <n v="2312"/>
    <n v="2601"/>
  </r>
  <r>
    <x v="2"/>
    <x v="0"/>
    <x v="4"/>
    <x v="376"/>
    <x v="7"/>
    <x v="0"/>
    <n v="43.35"/>
    <n v="2.38"/>
    <x v="0"/>
    <s v="DOMINIO"/>
    <x v="0"/>
    <m/>
    <m/>
    <n v="2720"/>
    <n v="2312"/>
    <n v="2601"/>
  </r>
  <r>
    <x v="2"/>
    <x v="0"/>
    <x v="4"/>
    <x v="377"/>
    <x v="7"/>
    <x v="0"/>
    <n v="43.35"/>
    <n v="2.38"/>
    <x v="3"/>
    <s v="DOMINIO"/>
    <x v="0"/>
    <m/>
    <m/>
    <n v="2777"/>
    <n v="2360.4499999999998"/>
    <n v="2655.5062499999995"/>
  </r>
  <r>
    <x v="2"/>
    <x v="0"/>
    <x v="4"/>
    <x v="378"/>
    <x v="7"/>
    <x v="0"/>
    <n v="43.35"/>
    <n v="2.38"/>
    <x v="2"/>
    <s v="DOMINIO"/>
    <x v="0"/>
    <m/>
    <m/>
    <n v="2731"/>
    <n v="2321.35"/>
    <n v="2611.5187500000002"/>
  </r>
  <r>
    <x v="2"/>
    <x v="0"/>
    <x v="4"/>
    <x v="74"/>
    <x v="8"/>
    <x v="0"/>
    <n v="43.35"/>
    <n v="2.38"/>
    <x v="0"/>
    <s v="DOMINIO"/>
    <x v="0"/>
    <m/>
    <m/>
    <n v="2731"/>
    <n v="2321.35"/>
    <n v="2611.5187500000002"/>
  </r>
  <r>
    <x v="2"/>
    <x v="0"/>
    <x v="4"/>
    <x v="379"/>
    <x v="8"/>
    <x v="0"/>
    <n v="43.35"/>
    <n v="2.38"/>
    <x v="3"/>
    <s v="DOMINIO"/>
    <x v="0"/>
    <m/>
    <m/>
    <n v="2789"/>
    <n v="2370.65"/>
    <n v="2666.9812499999998"/>
  </r>
  <r>
    <x v="2"/>
    <x v="0"/>
    <x v="4"/>
    <x v="380"/>
    <x v="8"/>
    <x v="0"/>
    <n v="43.35"/>
    <n v="2.38"/>
    <x v="1"/>
    <s v="DOMINIO"/>
    <x v="0"/>
    <m/>
    <m/>
    <n v="2766"/>
    <n v="2351.1"/>
    <n v="2644.9874999999997"/>
  </r>
  <r>
    <x v="2"/>
    <x v="0"/>
    <x v="4"/>
    <x v="76"/>
    <x v="9"/>
    <x v="0"/>
    <n v="43.35"/>
    <n v="2.38"/>
    <x v="0"/>
    <s v="DOMINIO"/>
    <x v="0"/>
    <m/>
    <m/>
    <n v="2743"/>
    <n v="2331.5499999999997"/>
    <n v="2622.9937499999992"/>
  </r>
  <r>
    <x v="2"/>
    <x v="0"/>
    <x v="4"/>
    <x v="14"/>
    <x v="9"/>
    <x v="0"/>
    <n v="43.35"/>
    <n v="2.38"/>
    <x v="3"/>
    <s v="DOMINIO"/>
    <x v="0"/>
    <m/>
    <m/>
    <n v="2800"/>
    <n v="2380"/>
    <n v="2677.5"/>
  </r>
  <r>
    <x v="2"/>
    <x v="0"/>
    <x v="4"/>
    <x v="239"/>
    <x v="9"/>
    <x v="0"/>
    <n v="43.35"/>
    <n v="2.38"/>
    <x v="1"/>
    <s v="DOMINIO"/>
    <x v="0"/>
    <m/>
    <m/>
    <n v="2777"/>
    <n v="2360.4499999999998"/>
    <n v="2655.5062499999995"/>
  </r>
  <r>
    <x v="2"/>
    <x v="0"/>
    <x v="4"/>
    <x v="381"/>
    <x v="9"/>
    <x v="0"/>
    <n v="43.35"/>
    <n v="2.38"/>
    <x v="2"/>
    <s v="DOMINIO"/>
    <x v="0"/>
    <m/>
    <m/>
    <n v="2754"/>
    <n v="2340.9"/>
    <n v="2633.5124999999998"/>
  </r>
  <r>
    <x v="2"/>
    <x v="0"/>
    <x v="4"/>
    <x v="78"/>
    <x v="5"/>
    <x v="0"/>
    <n v="43.35"/>
    <n v="2.38"/>
    <x v="0"/>
    <s v="DOMINIO"/>
    <x v="0"/>
    <m/>
    <m/>
    <n v="2754"/>
    <n v="2340.9"/>
    <n v="2633.5124999999998"/>
  </r>
  <r>
    <x v="2"/>
    <x v="0"/>
    <x v="4"/>
    <x v="17"/>
    <x v="5"/>
    <x v="0"/>
    <n v="43.35"/>
    <n v="2.38"/>
    <x v="3"/>
    <s v="DOMINIO"/>
    <x v="0"/>
    <m/>
    <m/>
    <n v="2811"/>
    <n v="2389.35"/>
    <n v="2688.0187499999997"/>
  </r>
  <r>
    <x v="2"/>
    <x v="0"/>
    <x v="4"/>
    <x v="382"/>
    <x v="5"/>
    <x v="0"/>
    <n v="43.35"/>
    <n v="2.38"/>
    <x v="1"/>
    <s v="DOMINIO"/>
    <x v="0"/>
    <m/>
    <m/>
    <n v="2789"/>
    <n v="2370.65"/>
    <n v="2666.9812499999998"/>
  </r>
  <r>
    <x v="2"/>
    <x v="0"/>
    <x v="4"/>
    <x v="383"/>
    <x v="5"/>
    <x v="0"/>
    <n v="43.35"/>
    <n v="2.38"/>
    <x v="2"/>
    <s v="DOMINIO"/>
    <x v="0"/>
    <m/>
    <m/>
    <n v="2766"/>
    <n v="2351.1"/>
    <n v="2644.9874999999997"/>
  </r>
  <r>
    <x v="2"/>
    <x v="0"/>
    <x v="4"/>
    <x v="80"/>
    <x v="10"/>
    <x v="0"/>
    <n v="43.35"/>
    <n v="2.38"/>
    <x v="0"/>
    <s v="DOMINIO"/>
    <x v="0"/>
    <m/>
    <m/>
    <n v="2766"/>
    <n v="2351.1"/>
    <n v="2644.9874999999997"/>
  </r>
  <r>
    <x v="2"/>
    <x v="0"/>
    <x v="4"/>
    <x v="21"/>
    <x v="10"/>
    <x v="0"/>
    <n v="43.35"/>
    <n v="2.38"/>
    <x v="3"/>
    <s v="DOMINIO"/>
    <x v="0"/>
    <m/>
    <m/>
    <n v="2823"/>
    <n v="2399.5499999999997"/>
    <n v="2699.4937499999996"/>
  </r>
  <r>
    <x v="2"/>
    <x v="0"/>
    <x v="4"/>
    <x v="384"/>
    <x v="10"/>
    <x v="0"/>
    <n v="43.35"/>
    <n v="2.38"/>
    <x v="1"/>
    <s v="DOMINIO"/>
    <x v="0"/>
    <m/>
    <m/>
    <n v="2800"/>
    <n v="2380"/>
    <n v="2677.5"/>
  </r>
  <r>
    <x v="2"/>
    <x v="0"/>
    <x v="4"/>
    <x v="385"/>
    <x v="10"/>
    <x v="0"/>
    <n v="43.35"/>
    <n v="2.38"/>
    <x v="2"/>
    <s v="DOMINIO"/>
    <x v="0"/>
    <m/>
    <m/>
    <n v="2777"/>
    <n v="2360.4499999999998"/>
    <n v="2655.5062499999995"/>
  </r>
  <r>
    <x v="2"/>
    <x v="0"/>
    <x v="4"/>
    <x v="82"/>
    <x v="11"/>
    <x v="0"/>
    <n v="43.35"/>
    <n v="2.38"/>
    <x v="0"/>
    <s v="DOMINIO"/>
    <x v="0"/>
    <m/>
    <m/>
    <n v="2777"/>
    <n v="2360.4499999999998"/>
    <n v="2655.5062499999995"/>
  </r>
  <r>
    <x v="2"/>
    <x v="0"/>
    <x v="4"/>
    <x v="26"/>
    <x v="11"/>
    <x v="0"/>
    <n v="43.35"/>
    <n v="2.38"/>
    <x v="3"/>
    <s v="DOMINIO"/>
    <x v="0"/>
    <m/>
    <m/>
    <n v="2834"/>
    <n v="2408.9"/>
    <n v="2710.0125000000003"/>
  </r>
  <r>
    <x v="2"/>
    <x v="0"/>
    <x v="4"/>
    <x v="386"/>
    <x v="11"/>
    <x v="0"/>
    <n v="43.35"/>
    <n v="2.38"/>
    <x v="1"/>
    <s v="DOMINIO"/>
    <x v="0"/>
    <m/>
    <m/>
    <n v="2811"/>
    <n v="2389.35"/>
    <n v="2688.0187499999997"/>
  </r>
  <r>
    <x v="2"/>
    <x v="0"/>
    <x v="4"/>
    <x v="387"/>
    <x v="11"/>
    <x v="0"/>
    <n v="43.35"/>
    <n v="2.38"/>
    <x v="2"/>
    <s v="DOMINIO"/>
    <x v="0"/>
    <m/>
    <m/>
    <n v="2789"/>
    <n v="2370.65"/>
    <n v="2666.9812499999998"/>
  </r>
  <r>
    <x v="2"/>
    <x v="0"/>
    <x v="5"/>
    <x v="198"/>
    <x v="6"/>
    <x v="0"/>
    <n v="46.75"/>
    <n v="2.38"/>
    <x v="3"/>
    <s v="DOMINIO"/>
    <x v="0"/>
    <m/>
    <m/>
    <n v="2764"/>
    <n v="2349.4"/>
    <n v="2643.0749999999998"/>
  </r>
  <r>
    <x v="2"/>
    <x v="0"/>
    <x v="5"/>
    <x v="388"/>
    <x v="3"/>
    <x v="0"/>
    <n v="46.75"/>
    <n v="2.38"/>
    <x v="3"/>
    <s v="DOMINIO"/>
    <x v="0"/>
    <m/>
    <m/>
    <n v="2822"/>
    <n v="2398.6999999999998"/>
    <n v="2698.5374999999999"/>
  </r>
  <r>
    <x v="2"/>
    <x v="0"/>
    <x v="5"/>
    <x v="3"/>
    <x v="3"/>
    <x v="0"/>
    <n v="47.74"/>
    <n v="2.38"/>
    <x v="0"/>
    <s v="DOMINIO"/>
    <x v="0"/>
    <m/>
    <m/>
    <n v="2764"/>
    <n v="2349.4"/>
    <n v="2643.0749999999998"/>
  </r>
  <r>
    <x v="2"/>
    <x v="0"/>
    <x v="5"/>
    <x v="237"/>
    <x v="0"/>
    <x v="0"/>
    <n v="46.75"/>
    <n v="2.38"/>
    <x v="3"/>
    <s v="DOMINIO"/>
    <x v="0"/>
    <m/>
    <m/>
    <n v="2833"/>
    <n v="2408.0499999999997"/>
    <n v="2709.0562499999996"/>
  </r>
  <r>
    <x v="2"/>
    <x v="0"/>
    <x v="5"/>
    <x v="5"/>
    <x v="4"/>
    <x v="0"/>
    <n v="47.74"/>
    <n v="2.38"/>
    <x v="0"/>
    <s v="DOMINIO"/>
    <x v="0"/>
    <m/>
    <m/>
    <n v="2787"/>
    <n v="2368.9499999999998"/>
    <n v="2665.0687499999995"/>
  </r>
  <r>
    <x v="2"/>
    <x v="0"/>
    <x v="5"/>
    <x v="389"/>
    <x v="7"/>
    <x v="0"/>
    <n v="47.74"/>
    <n v="2.38"/>
    <x v="0"/>
    <s v="DOMINIO"/>
    <x v="0"/>
    <m/>
    <m/>
    <n v="2799"/>
    <n v="2379.15"/>
    <n v="2676.5437499999998"/>
  </r>
  <r>
    <x v="2"/>
    <x v="0"/>
    <x v="5"/>
    <x v="390"/>
    <x v="8"/>
    <x v="0"/>
    <n v="47.74"/>
    <n v="2.38"/>
    <x v="0"/>
    <s v="DOMINIO"/>
    <x v="0"/>
    <m/>
    <m/>
    <n v="2810"/>
    <n v="2388.5"/>
    <n v="2687.0625"/>
  </r>
  <r>
    <x v="2"/>
    <x v="0"/>
    <x v="5"/>
    <x v="391"/>
    <x v="9"/>
    <x v="0"/>
    <n v="46.75"/>
    <n v="2.38"/>
    <x v="3"/>
    <s v="DOMINIO"/>
    <x v="0"/>
    <m/>
    <m/>
    <n v="2879"/>
    <n v="2447.15"/>
    <n v="2753.0437499999998"/>
  </r>
  <r>
    <x v="2"/>
    <x v="0"/>
    <x v="5"/>
    <x v="392"/>
    <x v="9"/>
    <x v="0"/>
    <n v="47.74"/>
    <n v="2.38"/>
    <x v="0"/>
    <s v="DOMINIO"/>
    <x v="0"/>
    <m/>
    <m/>
    <n v="2822"/>
    <n v="2398.6999999999998"/>
    <n v="2698.5374999999999"/>
  </r>
  <r>
    <x v="2"/>
    <x v="0"/>
    <x v="5"/>
    <x v="266"/>
    <x v="5"/>
    <x v="0"/>
    <n v="47.74"/>
    <n v="2.38"/>
    <x v="0"/>
    <s v="DOMINIO"/>
    <x v="0"/>
    <m/>
    <m/>
    <n v="2833"/>
    <n v="2408.0499999999997"/>
    <n v="2709.0562499999996"/>
  </r>
  <r>
    <x v="2"/>
    <x v="0"/>
    <x v="5"/>
    <x v="393"/>
    <x v="10"/>
    <x v="0"/>
    <n v="46.75"/>
    <n v="2.38"/>
    <x v="3"/>
    <s v="DOMINIO"/>
    <x v="0"/>
    <m/>
    <m/>
    <n v="2902"/>
    <n v="2466.6999999999998"/>
    <n v="2775.0374999999995"/>
  </r>
  <r>
    <x v="2"/>
    <x v="0"/>
    <x v="5"/>
    <x v="394"/>
    <x v="10"/>
    <x v="0"/>
    <n v="47.74"/>
    <n v="2.38"/>
    <x v="0"/>
    <s v="DOMINIO"/>
    <x v="0"/>
    <m/>
    <m/>
    <n v="2845"/>
    <n v="2418.25"/>
    <n v="2720.53125"/>
  </r>
  <r>
    <x v="2"/>
    <x v="0"/>
    <x v="5"/>
    <x v="395"/>
    <x v="11"/>
    <x v="0"/>
    <n v="46.75"/>
    <n v="2.38"/>
    <x v="3"/>
    <s v="DOMINIO"/>
    <x v="0"/>
    <m/>
    <m/>
    <n v="2914"/>
    <n v="2476.9"/>
    <n v="2786.5124999999998"/>
  </r>
  <r>
    <x v="2"/>
    <x v="0"/>
    <x v="5"/>
    <x v="396"/>
    <x v="11"/>
    <x v="0"/>
    <n v="47.74"/>
    <n v="2.38"/>
    <x v="0"/>
    <s v="DOMINIO"/>
    <x v="0"/>
    <m/>
    <m/>
    <n v="2856"/>
    <n v="2427.6"/>
    <n v="2731.05"/>
  </r>
  <r>
    <x v="2"/>
    <x v="1"/>
    <x v="6"/>
    <x v="103"/>
    <x v="6"/>
    <x v="0"/>
    <n v="2.09"/>
    <n v="0"/>
    <x v="4"/>
    <s v="DOMINIO"/>
    <x v="0"/>
    <m/>
    <m/>
    <n v="55"/>
    <n v="55"/>
    <n v="61.875"/>
  </r>
  <r>
    <x v="2"/>
    <x v="1"/>
    <x v="6"/>
    <x v="104"/>
    <x v="6"/>
    <x v="0"/>
    <n v="2.06"/>
    <n v="0"/>
    <x v="4"/>
    <s v="DOMINIO"/>
    <x v="0"/>
    <m/>
    <m/>
    <n v="50"/>
    <n v="50"/>
    <n v="56.25"/>
  </r>
  <r>
    <x v="2"/>
    <x v="1"/>
    <x v="6"/>
    <x v="106"/>
    <x v="6"/>
    <x v="0"/>
    <n v="3.3"/>
    <n v="0"/>
    <x v="4"/>
    <s v="DOMINIO"/>
    <x v="0"/>
    <m/>
    <m/>
    <n v="85"/>
    <n v="85"/>
    <n v="95.625"/>
  </r>
  <r>
    <x v="2"/>
    <x v="1"/>
    <x v="6"/>
    <x v="107"/>
    <x v="6"/>
    <x v="0"/>
    <n v="3.54"/>
    <n v="0"/>
    <x v="4"/>
    <s v="DOMINIO"/>
    <x v="0"/>
    <m/>
    <m/>
    <n v="90"/>
    <n v="90"/>
    <n v="101.25"/>
  </r>
  <r>
    <x v="2"/>
    <x v="1"/>
    <x v="6"/>
    <x v="273"/>
    <x v="6"/>
    <x v="0"/>
    <n v="3.47"/>
    <n v="0"/>
    <x v="4"/>
    <s v="DOMINIO"/>
    <x v="0"/>
    <m/>
    <m/>
    <n v="90"/>
    <n v="90"/>
    <n v="101.25"/>
  </r>
  <r>
    <x v="2"/>
    <x v="1"/>
    <x v="6"/>
    <x v="108"/>
    <x v="6"/>
    <x v="0"/>
    <n v="2.74"/>
    <n v="0"/>
    <x v="4"/>
    <s v="DOMINIO"/>
    <x v="0"/>
    <m/>
    <m/>
    <n v="70"/>
    <n v="70"/>
    <n v="78.75"/>
  </r>
  <r>
    <x v="2"/>
    <x v="1"/>
    <x v="6"/>
    <x v="109"/>
    <x v="3"/>
    <x v="0"/>
    <n v="2.5"/>
    <n v="0"/>
    <x v="4"/>
    <s v="DOMINIO"/>
    <x v="0"/>
    <m/>
    <m/>
    <n v="65"/>
    <n v="65"/>
    <n v="73.125"/>
  </r>
  <r>
    <x v="2"/>
    <x v="1"/>
    <x v="6"/>
    <x v="165"/>
    <x v="3"/>
    <x v="0"/>
    <n v="2.4300000000000002"/>
    <n v="0"/>
    <x v="4"/>
    <s v="DOMINIO"/>
    <x v="0"/>
    <m/>
    <m/>
    <n v="60"/>
    <n v="60"/>
    <n v="67.5"/>
  </r>
  <r>
    <x v="2"/>
    <x v="1"/>
    <x v="6"/>
    <x v="274"/>
    <x v="3"/>
    <x v="0"/>
    <n v="2.4300000000000002"/>
    <n v="0"/>
    <x v="4"/>
    <s v="DOMINIO"/>
    <x v="0"/>
    <m/>
    <m/>
    <n v="60"/>
    <n v="60"/>
    <n v="67.5"/>
  </r>
  <r>
    <x v="2"/>
    <x v="1"/>
    <x v="6"/>
    <x v="110"/>
    <x v="3"/>
    <x v="0"/>
    <n v="2.69"/>
    <n v="0"/>
    <x v="4"/>
    <s v="DOMINIO"/>
    <x v="0"/>
    <m/>
    <m/>
    <n v="70"/>
    <n v="70"/>
    <n v="78.75"/>
  </r>
  <r>
    <x v="2"/>
    <x v="1"/>
    <x v="6"/>
    <x v="111"/>
    <x v="3"/>
    <x v="0"/>
    <n v="2.61"/>
    <n v="0"/>
    <x v="4"/>
    <s v="DOMINIO"/>
    <x v="0"/>
    <m/>
    <m/>
    <n v="65"/>
    <n v="65"/>
    <n v="73.125"/>
  </r>
  <r>
    <x v="2"/>
    <x v="1"/>
    <x v="6"/>
    <x v="112"/>
    <x v="3"/>
    <x v="0"/>
    <n v="2.61"/>
    <n v="0"/>
    <x v="4"/>
    <s v="DOMINIO"/>
    <x v="0"/>
    <m/>
    <m/>
    <n v="65"/>
    <n v="65"/>
    <n v="73.125"/>
  </r>
  <r>
    <x v="2"/>
    <x v="1"/>
    <x v="6"/>
    <x v="113"/>
    <x v="3"/>
    <x v="0"/>
    <n v="2.76"/>
    <n v="0"/>
    <x v="4"/>
    <s v="DOMINIO"/>
    <x v="0"/>
    <m/>
    <m/>
    <n v="70"/>
    <n v="70"/>
    <n v="78.75"/>
  </r>
  <r>
    <x v="2"/>
    <x v="1"/>
    <x v="6"/>
    <x v="114"/>
    <x v="0"/>
    <x v="0"/>
    <n v="2.5"/>
    <n v="0"/>
    <x v="4"/>
    <s v="DOMINIO"/>
    <x v="0"/>
    <m/>
    <m/>
    <n v="65"/>
    <n v="65"/>
    <n v="73.125"/>
  </r>
  <r>
    <x v="2"/>
    <x v="1"/>
    <x v="6"/>
    <x v="115"/>
    <x v="0"/>
    <x v="0"/>
    <n v="2.4300000000000002"/>
    <n v="0"/>
    <x v="4"/>
    <s v="DOMINIO"/>
    <x v="0"/>
    <m/>
    <m/>
    <n v="60"/>
    <n v="60"/>
    <n v="67.5"/>
  </r>
  <r>
    <x v="2"/>
    <x v="1"/>
    <x v="6"/>
    <x v="116"/>
    <x v="0"/>
    <x v="0"/>
    <n v="2.4300000000000002"/>
    <n v="0"/>
    <x v="4"/>
    <s v="DOMINIO"/>
    <x v="0"/>
    <m/>
    <m/>
    <n v="60"/>
    <n v="60"/>
    <n v="67.5"/>
  </r>
  <r>
    <x v="2"/>
    <x v="1"/>
    <x v="6"/>
    <x v="117"/>
    <x v="0"/>
    <x v="0"/>
    <n v="2.69"/>
    <n v="0"/>
    <x v="4"/>
    <s v="DOMINIO"/>
    <x v="0"/>
    <m/>
    <m/>
    <n v="70"/>
    <n v="70"/>
    <n v="78.75"/>
  </r>
  <r>
    <x v="2"/>
    <x v="1"/>
    <x v="6"/>
    <x v="166"/>
    <x v="0"/>
    <x v="0"/>
    <n v="2.61"/>
    <n v="0"/>
    <x v="4"/>
    <s v="DOMINIO"/>
    <x v="0"/>
    <m/>
    <m/>
    <n v="65"/>
    <n v="65"/>
    <n v="73.125"/>
  </r>
  <r>
    <x v="2"/>
    <x v="1"/>
    <x v="6"/>
    <x v="119"/>
    <x v="0"/>
    <x v="0"/>
    <n v="2.76"/>
    <n v="0"/>
    <x v="4"/>
    <s v="DOMINIO"/>
    <x v="0"/>
    <m/>
    <m/>
    <n v="70"/>
    <n v="70"/>
    <n v="78.75"/>
  </r>
  <r>
    <x v="2"/>
    <x v="1"/>
    <x v="6"/>
    <x v="120"/>
    <x v="4"/>
    <x v="0"/>
    <n v="2.5"/>
    <n v="0"/>
    <x v="4"/>
    <s v="DOMINIO"/>
    <x v="0"/>
    <m/>
    <m/>
    <n v="65"/>
    <n v="65"/>
    <n v="73.125"/>
  </r>
  <r>
    <x v="2"/>
    <x v="1"/>
    <x v="6"/>
    <x v="275"/>
    <x v="4"/>
    <x v="0"/>
    <n v="2.4300000000000002"/>
    <n v="0"/>
    <x v="4"/>
    <s v="DOMINIO"/>
    <x v="0"/>
    <m/>
    <m/>
    <n v="60"/>
    <n v="60"/>
    <n v="67.5"/>
  </r>
  <r>
    <x v="2"/>
    <x v="1"/>
    <x v="6"/>
    <x v="121"/>
    <x v="4"/>
    <x v="0"/>
    <n v="2.4300000000000002"/>
    <n v="0"/>
    <x v="4"/>
    <s v="DOMINIO"/>
    <x v="0"/>
    <m/>
    <m/>
    <n v="60"/>
    <n v="60"/>
    <n v="67.5"/>
  </r>
  <r>
    <x v="2"/>
    <x v="1"/>
    <x v="6"/>
    <x v="122"/>
    <x v="4"/>
    <x v="0"/>
    <n v="2.69"/>
    <n v="0"/>
    <x v="4"/>
    <s v="DOMINIO"/>
    <x v="0"/>
    <m/>
    <m/>
    <n v="70"/>
    <n v="70"/>
    <n v="78.75"/>
  </r>
  <r>
    <x v="2"/>
    <x v="1"/>
    <x v="6"/>
    <x v="123"/>
    <x v="4"/>
    <x v="0"/>
    <n v="2.61"/>
    <n v="0"/>
    <x v="4"/>
    <s v="DOMINIO"/>
    <x v="0"/>
    <m/>
    <m/>
    <n v="65"/>
    <n v="65"/>
    <n v="73.125"/>
  </r>
  <r>
    <x v="2"/>
    <x v="1"/>
    <x v="6"/>
    <x v="167"/>
    <x v="4"/>
    <x v="0"/>
    <n v="2.61"/>
    <n v="0"/>
    <x v="4"/>
    <s v="DOMINIO"/>
    <x v="0"/>
    <m/>
    <m/>
    <n v="65"/>
    <n v="65"/>
    <n v="73.125"/>
  </r>
  <r>
    <x v="2"/>
    <x v="1"/>
    <x v="6"/>
    <x v="125"/>
    <x v="7"/>
    <x v="0"/>
    <n v="2.5"/>
    <n v="0"/>
    <x v="4"/>
    <s v="DOMINIO"/>
    <x v="0"/>
    <m/>
    <m/>
    <n v="65"/>
    <n v="65"/>
    <n v="73.125"/>
  </r>
  <r>
    <x v="2"/>
    <x v="1"/>
    <x v="6"/>
    <x v="126"/>
    <x v="7"/>
    <x v="0"/>
    <n v="2.4300000000000002"/>
    <n v="0"/>
    <x v="4"/>
    <s v="DOMINIO"/>
    <x v="0"/>
    <m/>
    <m/>
    <n v="60"/>
    <n v="60"/>
    <n v="67.5"/>
  </r>
  <r>
    <x v="2"/>
    <x v="1"/>
    <x v="6"/>
    <x v="127"/>
    <x v="7"/>
    <x v="0"/>
    <n v="2.4300000000000002"/>
    <n v="0"/>
    <x v="4"/>
    <s v="DOMINIO"/>
    <x v="0"/>
    <m/>
    <m/>
    <n v="60"/>
    <n v="60"/>
    <n v="67.5"/>
  </r>
  <r>
    <x v="2"/>
    <x v="1"/>
    <x v="6"/>
    <x v="276"/>
    <x v="7"/>
    <x v="0"/>
    <n v="2.69"/>
    <n v="0"/>
    <x v="4"/>
    <s v="DOMINIO"/>
    <x v="0"/>
    <m/>
    <m/>
    <n v="70"/>
    <n v="70"/>
    <n v="78.75"/>
  </r>
  <r>
    <x v="2"/>
    <x v="1"/>
    <x v="6"/>
    <x v="128"/>
    <x v="7"/>
    <x v="0"/>
    <n v="2.61"/>
    <n v="0"/>
    <x v="4"/>
    <s v="DOMINIO"/>
    <x v="0"/>
    <m/>
    <m/>
    <n v="65"/>
    <n v="65"/>
    <n v="73.125"/>
  </r>
  <r>
    <x v="2"/>
    <x v="1"/>
    <x v="6"/>
    <x v="129"/>
    <x v="7"/>
    <x v="0"/>
    <n v="2.61"/>
    <n v="0"/>
    <x v="4"/>
    <s v="DOMINIO"/>
    <x v="0"/>
    <m/>
    <m/>
    <n v="65"/>
    <n v="65"/>
    <n v="73.125"/>
  </r>
  <r>
    <x v="2"/>
    <x v="1"/>
    <x v="6"/>
    <x v="130"/>
    <x v="7"/>
    <x v="0"/>
    <n v="2.76"/>
    <n v="0"/>
    <x v="4"/>
    <s v="DOMINIO"/>
    <x v="0"/>
    <m/>
    <m/>
    <n v="70"/>
    <n v="70"/>
    <n v="78.75"/>
  </r>
  <r>
    <x v="2"/>
    <x v="1"/>
    <x v="6"/>
    <x v="131"/>
    <x v="8"/>
    <x v="0"/>
    <n v="2.5"/>
    <n v="0"/>
    <x v="4"/>
    <s v="DOMINIO"/>
    <x v="0"/>
    <m/>
    <m/>
    <n v="65"/>
    <n v="65"/>
    <n v="73.125"/>
  </r>
  <r>
    <x v="2"/>
    <x v="1"/>
    <x v="6"/>
    <x v="132"/>
    <x v="8"/>
    <x v="0"/>
    <n v="2.4300000000000002"/>
    <n v="0"/>
    <x v="4"/>
    <s v="DOMINIO"/>
    <x v="0"/>
    <m/>
    <m/>
    <n v="60"/>
    <n v="60"/>
    <n v="67.5"/>
  </r>
  <r>
    <x v="2"/>
    <x v="1"/>
    <x v="6"/>
    <x v="133"/>
    <x v="8"/>
    <x v="0"/>
    <n v="2.4300000000000002"/>
    <n v="0"/>
    <x v="4"/>
    <s v="DOMINIO"/>
    <x v="0"/>
    <m/>
    <m/>
    <n v="60"/>
    <n v="60"/>
    <n v="67.5"/>
  </r>
  <r>
    <x v="2"/>
    <x v="1"/>
    <x v="6"/>
    <x v="134"/>
    <x v="8"/>
    <x v="0"/>
    <n v="2.69"/>
    <n v="0"/>
    <x v="4"/>
    <s v="DOMINIO"/>
    <x v="0"/>
    <m/>
    <m/>
    <n v="70"/>
    <n v="70"/>
    <n v="78.75"/>
  </r>
  <r>
    <x v="2"/>
    <x v="1"/>
    <x v="6"/>
    <x v="135"/>
    <x v="8"/>
    <x v="0"/>
    <n v="2.61"/>
    <n v="0"/>
    <x v="4"/>
    <s v="DOMINIO"/>
    <x v="0"/>
    <m/>
    <m/>
    <n v="65"/>
    <n v="65"/>
    <n v="73.125"/>
  </r>
  <r>
    <x v="2"/>
    <x v="1"/>
    <x v="6"/>
    <x v="136"/>
    <x v="8"/>
    <x v="0"/>
    <n v="2.61"/>
    <n v="0"/>
    <x v="4"/>
    <s v="DOMINIO"/>
    <x v="0"/>
    <m/>
    <m/>
    <n v="65"/>
    <n v="65"/>
    <n v="73.125"/>
  </r>
  <r>
    <x v="2"/>
    <x v="1"/>
    <x v="6"/>
    <x v="137"/>
    <x v="8"/>
    <x v="0"/>
    <n v="2.76"/>
    <n v="0"/>
    <x v="4"/>
    <s v="DOMINIO"/>
    <x v="0"/>
    <m/>
    <m/>
    <n v="70"/>
    <n v="70"/>
    <n v="78.75"/>
  </r>
  <r>
    <x v="2"/>
    <x v="1"/>
    <x v="6"/>
    <x v="138"/>
    <x v="9"/>
    <x v="0"/>
    <n v="2.5"/>
    <n v="0"/>
    <x v="4"/>
    <s v="DOMINIO"/>
    <x v="0"/>
    <m/>
    <m/>
    <n v="65"/>
    <n v="65"/>
    <n v="73.125"/>
  </r>
  <r>
    <x v="2"/>
    <x v="1"/>
    <x v="6"/>
    <x v="139"/>
    <x v="9"/>
    <x v="0"/>
    <n v="2.4300000000000002"/>
    <n v="0"/>
    <x v="4"/>
    <s v="DOMINIO"/>
    <x v="0"/>
    <m/>
    <m/>
    <n v="60"/>
    <n v="60"/>
    <n v="67.5"/>
  </r>
  <r>
    <x v="2"/>
    <x v="1"/>
    <x v="6"/>
    <x v="140"/>
    <x v="9"/>
    <x v="0"/>
    <n v="2.4300000000000002"/>
    <n v="0"/>
    <x v="4"/>
    <s v="DOMINIO"/>
    <x v="0"/>
    <m/>
    <m/>
    <n v="60"/>
    <n v="60"/>
    <n v="67.5"/>
  </r>
  <r>
    <x v="2"/>
    <x v="1"/>
    <x v="6"/>
    <x v="141"/>
    <x v="9"/>
    <x v="0"/>
    <n v="2.69"/>
    <n v="0"/>
    <x v="4"/>
    <s v="DOMINIO"/>
    <x v="0"/>
    <m/>
    <m/>
    <n v="70"/>
    <n v="70"/>
    <n v="78.75"/>
  </r>
  <r>
    <x v="2"/>
    <x v="1"/>
    <x v="6"/>
    <x v="142"/>
    <x v="9"/>
    <x v="0"/>
    <n v="2.61"/>
    <n v="0"/>
    <x v="4"/>
    <s v="DOMINIO"/>
    <x v="0"/>
    <m/>
    <m/>
    <n v="65"/>
    <n v="65"/>
    <n v="73.125"/>
  </r>
  <r>
    <x v="2"/>
    <x v="1"/>
    <x v="6"/>
    <x v="143"/>
    <x v="9"/>
    <x v="0"/>
    <n v="2.61"/>
    <n v="0"/>
    <x v="4"/>
    <s v="DOMINIO"/>
    <x v="0"/>
    <m/>
    <m/>
    <n v="65"/>
    <n v="65"/>
    <n v="73.125"/>
  </r>
  <r>
    <x v="2"/>
    <x v="1"/>
    <x v="6"/>
    <x v="144"/>
    <x v="9"/>
    <x v="0"/>
    <n v="2.76"/>
    <n v="0"/>
    <x v="4"/>
    <s v="DOMINIO"/>
    <x v="0"/>
    <m/>
    <m/>
    <n v="70"/>
    <n v="70"/>
    <n v="78.75"/>
  </r>
  <r>
    <x v="2"/>
    <x v="1"/>
    <x v="6"/>
    <x v="145"/>
    <x v="5"/>
    <x v="0"/>
    <n v="2.5"/>
    <n v="0"/>
    <x v="4"/>
    <s v="DOMINIO"/>
    <x v="0"/>
    <m/>
    <m/>
    <n v="65"/>
    <n v="65"/>
    <n v="73.125"/>
  </r>
  <r>
    <x v="2"/>
    <x v="1"/>
    <x v="6"/>
    <x v="146"/>
    <x v="5"/>
    <x v="0"/>
    <n v="2.4300000000000002"/>
    <n v="0"/>
    <x v="4"/>
    <s v="DOMINIO"/>
    <x v="0"/>
    <m/>
    <m/>
    <n v="60"/>
    <n v="60"/>
    <n v="67.5"/>
  </r>
  <r>
    <x v="2"/>
    <x v="1"/>
    <x v="6"/>
    <x v="168"/>
    <x v="5"/>
    <x v="0"/>
    <n v="2.4300000000000002"/>
    <n v="0"/>
    <x v="4"/>
    <s v="DOMINIO"/>
    <x v="0"/>
    <m/>
    <m/>
    <n v="60"/>
    <n v="60"/>
    <n v="67.5"/>
  </r>
  <r>
    <x v="2"/>
    <x v="1"/>
    <x v="6"/>
    <x v="397"/>
    <x v="5"/>
    <x v="0"/>
    <n v="2.69"/>
    <n v="0"/>
    <x v="4"/>
    <s v="DOMINIO"/>
    <x v="0"/>
    <m/>
    <m/>
    <n v="70"/>
    <n v="70"/>
    <n v="78.75"/>
  </r>
  <r>
    <x v="2"/>
    <x v="1"/>
    <x v="6"/>
    <x v="169"/>
    <x v="5"/>
    <x v="0"/>
    <n v="2.61"/>
    <n v="0"/>
    <x v="4"/>
    <s v="DOMINIO"/>
    <x v="0"/>
    <m/>
    <m/>
    <n v="65"/>
    <n v="65"/>
    <n v="73.125"/>
  </r>
  <r>
    <x v="2"/>
    <x v="1"/>
    <x v="6"/>
    <x v="170"/>
    <x v="5"/>
    <x v="0"/>
    <n v="2.61"/>
    <n v="0"/>
    <x v="4"/>
    <s v="DOMINIO"/>
    <x v="0"/>
    <m/>
    <m/>
    <n v="65"/>
    <n v="65"/>
    <n v="73.125"/>
  </r>
  <r>
    <x v="2"/>
    <x v="1"/>
    <x v="6"/>
    <x v="398"/>
    <x v="5"/>
    <x v="0"/>
    <n v="2.76"/>
    <n v="0"/>
    <x v="4"/>
    <s v="DOMINIO"/>
    <x v="0"/>
    <m/>
    <m/>
    <n v="70"/>
    <n v="70"/>
    <n v="78.75"/>
  </r>
  <r>
    <x v="2"/>
    <x v="1"/>
    <x v="6"/>
    <x v="171"/>
    <x v="10"/>
    <x v="0"/>
    <n v="2.5"/>
    <n v="0"/>
    <x v="4"/>
    <s v="DOMINIO"/>
    <x v="0"/>
    <m/>
    <m/>
    <n v="65"/>
    <n v="65"/>
    <n v="73.125"/>
  </r>
  <r>
    <x v="2"/>
    <x v="1"/>
    <x v="6"/>
    <x v="399"/>
    <x v="10"/>
    <x v="0"/>
    <n v="2.4300000000000002"/>
    <n v="0"/>
    <x v="4"/>
    <s v="DOMINIO"/>
    <x v="0"/>
    <m/>
    <m/>
    <n v="60"/>
    <n v="60"/>
    <n v="67.5"/>
  </r>
  <r>
    <x v="2"/>
    <x v="1"/>
    <x v="6"/>
    <x v="172"/>
    <x v="10"/>
    <x v="0"/>
    <n v="2.4300000000000002"/>
    <n v="0"/>
    <x v="4"/>
    <s v="DOMINIO"/>
    <x v="0"/>
    <m/>
    <m/>
    <n v="60"/>
    <n v="60"/>
    <n v="67.5"/>
  </r>
  <r>
    <x v="2"/>
    <x v="1"/>
    <x v="6"/>
    <x v="147"/>
    <x v="10"/>
    <x v="0"/>
    <n v="2.69"/>
    <n v="0"/>
    <x v="4"/>
    <s v="DOMINIO"/>
    <x v="0"/>
    <m/>
    <m/>
    <n v="70"/>
    <n v="70"/>
    <n v="78.75"/>
  </r>
  <r>
    <x v="2"/>
    <x v="1"/>
    <x v="6"/>
    <x v="173"/>
    <x v="10"/>
    <x v="0"/>
    <n v="2.61"/>
    <n v="0"/>
    <x v="4"/>
    <s v="DOMINIO"/>
    <x v="0"/>
    <m/>
    <m/>
    <n v="65"/>
    <n v="65"/>
    <n v="73.125"/>
  </r>
  <r>
    <x v="2"/>
    <x v="1"/>
    <x v="6"/>
    <x v="174"/>
    <x v="10"/>
    <x v="0"/>
    <n v="2.61"/>
    <n v="0"/>
    <x v="4"/>
    <s v="DOMINIO"/>
    <x v="0"/>
    <m/>
    <m/>
    <n v="65"/>
    <n v="65"/>
    <n v="73.125"/>
  </r>
  <r>
    <x v="2"/>
    <x v="1"/>
    <x v="6"/>
    <x v="148"/>
    <x v="10"/>
    <x v="0"/>
    <n v="2.76"/>
    <n v="0"/>
    <x v="4"/>
    <s v="DOMINIO"/>
    <x v="0"/>
    <m/>
    <m/>
    <n v="70"/>
    <n v="70"/>
    <n v="78.75"/>
  </r>
  <r>
    <x v="2"/>
    <x v="1"/>
    <x v="6"/>
    <x v="149"/>
    <x v="11"/>
    <x v="0"/>
    <n v="2.5"/>
    <n v="0"/>
    <x v="4"/>
    <s v="DOMINIO"/>
    <x v="0"/>
    <m/>
    <m/>
    <n v="65"/>
    <n v="65"/>
    <n v="73.125"/>
  </r>
  <r>
    <x v="2"/>
    <x v="1"/>
    <x v="6"/>
    <x v="175"/>
    <x v="11"/>
    <x v="0"/>
    <n v="2.4300000000000002"/>
    <n v="0"/>
    <x v="4"/>
    <s v="DOMINIO"/>
    <x v="0"/>
    <m/>
    <m/>
    <n v="60"/>
    <n v="60"/>
    <n v="67.5"/>
  </r>
  <r>
    <x v="2"/>
    <x v="1"/>
    <x v="6"/>
    <x v="150"/>
    <x v="11"/>
    <x v="0"/>
    <n v="2.4300000000000002"/>
    <n v="0"/>
    <x v="4"/>
    <s v="DOMINIO"/>
    <x v="0"/>
    <m/>
    <m/>
    <n v="60"/>
    <n v="60"/>
    <n v="67.5"/>
  </r>
  <r>
    <x v="2"/>
    <x v="1"/>
    <x v="6"/>
    <x v="176"/>
    <x v="11"/>
    <x v="0"/>
    <n v="2.69"/>
    <n v="0"/>
    <x v="4"/>
    <s v="DOMINIO"/>
    <x v="0"/>
    <m/>
    <m/>
    <n v="70"/>
    <n v="70"/>
    <n v="78.75"/>
  </r>
  <r>
    <x v="2"/>
    <x v="1"/>
    <x v="6"/>
    <x v="151"/>
    <x v="11"/>
    <x v="0"/>
    <n v="2.61"/>
    <n v="0"/>
    <x v="4"/>
    <s v="DOMINIO"/>
    <x v="0"/>
    <m/>
    <m/>
    <n v="65"/>
    <n v="65"/>
    <n v="73.125"/>
  </r>
  <r>
    <x v="2"/>
    <x v="1"/>
    <x v="6"/>
    <x v="152"/>
    <x v="11"/>
    <x v="0"/>
    <n v="2.61"/>
    <n v="0"/>
    <x v="4"/>
    <s v="DOMINIO"/>
    <x v="0"/>
    <m/>
    <m/>
    <n v="65"/>
    <n v="65"/>
    <n v="73.125"/>
  </r>
  <r>
    <x v="2"/>
    <x v="1"/>
    <x v="6"/>
    <x v="153"/>
    <x v="11"/>
    <x v="0"/>
    <n v="2.76"/>
    <n v="0"/>
    <x v="4"/>
    <s v="DOMINIO"/>
    <x v="0"/>
    <m/>
    <m/>
    <n v="70"/>
    <n v="70"/>
    <n v="78.75"/>
  </r>
  <r>
    <x v="2"/>
    <x v="2"/>
    <x v="7"/>
    <x v="109"/>
    <x v="20"/>
    <x v="0"/>
    <n v="12.5"/>
    <n v="0"/>
    <x v="4"/>
    <s v="DOMINIO"/>
    <x v="0"/>
    <m/>
    <m/>
    <n v="350"/>
    <n v="350"/>
    <n v="393.75"/>
  </r>
  <r>
    <x v="2"/>
    <x v="2"/>
    <x v="7"/>
    <x v="165"/>
    <x v="20"/>
    <x v="0"/>
    <n v="12.5"/>
    <n v="0"/>
    <x v="4"/>
    <s v="DOMINIO"/>
    <x v="0"/>
    <m/>
    <m/>
    <n v="350"/>
    <n v="350"/>
    <n v="393.75"/>
  </r>
  <r>
    <x v="2"/>
    <x v="2"/>
    <x v="7"/>
    <x v="274"/>
    <x v="20"/>
    <x v="0"/>
    <n v="12.5"/>
    <n v="0"/>
    <x v="4"/>
    <s v="DOMINIO"/>
    <x v="0"/>
    <m/>
    <m/>
    <n v="350"/>
    <n v="350"/>
    <n v="393.75"/>
  </r>
  <r>
    <x v="2"/>
    <x v="2"/>
    <x v="7"/>
    <x v="110"/>
    <x v="20"/>
    <x v="0"/>
    <n v="12.5"/>
    <n v="0"/>
    <x v="4"/>
    <s v="DOMINIO"/>
    <x v="0"/>
    <m/>
    <m/>
    <n v="350"/>
    <n v="350"/>
    <n v="393.75"/>
  </r>
  <r>
    <x v="2"/>
    <x v="2"/>
    <x v="7"/>
    <x v="111"/>
    <x v="20"/>
    <x v="0"/>
    <n v="12.5"/>
    <n v="0"/>
    <x v="4"/>
    <s v="DOMINIO"/>
    <x v="0"/>
    <m/>
    <m/>
    <n v="350"/>
    <n v="350"/>
    <n v="393.75"/>
  </r>
  <r>
    <x v="2"/>
    <x v="2"/>
    <x v="7"/>
    <x v="112"/>
    <x v="20"/>
    <x v="0"/>
    <n v="12.5"/>
    <n v="0"/>
    <x v="4"/>
    <s v="DOMINIO"/>
    <x v="0"/>
    <m/>
    <m/>
    <n v="350"/>
    <n v="350"/>
    <n v="393.75"/>
  </r>
  <r>
    <x v="2"/>
    <x v="2"/>
    <x v="7"/>
    <x v="113"/>
    <x v="20"/>
    <x v="0"/>
    <n v="12.5"/>
    <n v="0"/>
    <x v="4"/>
    <s v="DOMINIO"/>
    <x v="0"/>
    <m/>
    <m/>
    <n v="350"/>
    <n v="350"/>
    <n v="393.75"/>
  </r>
  <r>
    <x v="2"/>
    <x v="2"/>
    <x v="7"/>
    <x v="114"/>
    <x v="20"/>
    <x v="0"/>
    <n v="12.5"/>
    <n v="0"/>
    <x v="4"/>
    <s v="DOMINIO"/>
    <x v="0"/>
    <m/>
    <m/>
    <n v="350"/>
    <n v="350"/>
    <n v="393.75"/>
  </r>
  <r>
    <x v="2"/>
    <x v="2"/>
    <x v="7"/>
    <x v="115"/>
    <x v="20"/>
    <x v="0"/>
    <n v="12.5"/>
    <n v="0"/>
    <x v="4"/>
    <s v="DOMINIO"/>
    <x v="0"/>
    <m/>
    <m/>
    <n v="350"/>
    <n v="350"/>
    <n v="393.75"/>
  </r>
  <r>
    <x v="2"/>
    <x v="2"/>
    <x v="7"/>
    <x v="116"/>
    <x v="20"/>
    <x v="0"/>
    <n v="12.5"/>
    <n v="0"/>
    <x v="4"/>
    <s v="DOMINIO"/>
    <x v="0"/>
    <m/>
    <m/>
    <n v="350"/>
    <n v="350"/>
    <n v="393.75"/>
  </r>
  <r>
    <x v="2"/>
    <x v="2"/>
    <x v="7"/>
    <x v="117"/>
    <x v="20"/>
    <x v="0"/>
    <n v="12.5"/>
    <n v="0"/>
    <x v="4"/>
    <s v="DOMINIO"/>
    <x v="0"/>
    <m/>
    <m/>
    <n v="350"/>
    <n v="350"/>
    <n v="393.75"/>
  </r>
  <r>
    <x v="2"/>
    <x v="2"/>
    <x v="7"/>
    <x v="166"/>
    <x v="20"/>
    <x v="0"/>
    <n v="12.5"/>
    <n v="0"/>
    <x v="4"/>
    <s v="DOMINIO"/>
    <x v="0"/>
    <m/>
    <m/>
    <n v="350"/>
    <n v="350"/>
    <n v="393.75"/>
  </r>
  <r>
    <x v="2"/>
    <x v="2"/>
    <x v="7"/>
    <x v="118"/>
    <x v="20"/>
    <x v="0"/>
    <n v="12.5"/>
    <n v="0"/>
    <x v="4"/>
    <s v="DOMINIO"/>
    <x v="0"/>
    <m/>
    <m/>
    <n v="350"/>
    <n v="350"/>
    <n v="393.75"/>
  </r>
  <r>
    <x v="2"/>
    <x v="2"/>
    <x v="7"/>
    <x v="119"/>
    <x v="20"/>
    <x v="0"/>
    <n v="12.5"/>
    <n v="0"/>
    <x v="4"/>
    <s v="DOMINIO"/>
    <x v="0"/>
    <m/>
    <m/>
    <n v="350"/>
    <n v="350"/>
    <n v="393.75"/>
  </r>
  <r>
    <x v="2"/>
    <x v="2"/>
    <x v="7"/>
    <x v="120"/>
    <x v="20"/>
    <x v="0"/>
    <n v="12.5"/>
    <n v="0"/>
    <x v="4"/>
    <s v="DOMINIO"/>
    <x v="0"/>
    <m/>
    <m/>
    <n v="350"/>
    <n v="350"/>
    <n v="393.75"/>
  </r>
  <r>
    <x v="2"/>
    <x v="2"/>
    <x v="7"/>
    <x v="275"/>
    <x v="20"/>
    <x v="0"/>
    <n v="12.5"/>
    <n v="0"/>
    <x v="4"/>
    <s v="DOMINIO"/>
    <x v="0"/>
    <m/>
    <m/>
    <n v="350"/>
    <n v="350"/>
    <n v="393.75"/>
  </r>
  <r>
    <x v="2"/>
    <x v="2"/>
    <x v="7"/>
    <x v="121"/>
    <x v="20"/>
    <x v="0"/>
    <n v="12.5"/>
    <n v="0"/>
    <x v="4"/>
    <s v="DOMINIO"/>
    <x v="0"/>
    <m/>
    <m/>
    <n v="350"/>
    <n v="350"/>
    <n v="393.75"/>
  </r>
  <r>
    <x v="2"/>
    <x v="2"/>
    <x v="7"/>
    <x v="122"/>
    <x v="20"/>
    <x v="0"/>
    <n v="12.5"/>
    <n v="0"/>
    <x v="4"/>
    <s v="DOMINIO"/>
    <x v="0"/>
    <m/>
    <m/>
    <n v="350"/>
    <n v="350"/>
    <n v="393.75"/>
  </r>
  <r>
    <x v="2"/>
    <x v="2"/>
    <x v="7"/>
    <x v="123"/>
    <x v="20"/>
    <x v="0"/>
    <n v="12.5"/>
    <n v="0"/>
    <x v="4"/>
    <s v="DOMINIO"/>
    <x v="0"/>
    <m/>
    <m/>
    <n v="350"/>
    <n v="350"/>
    <n v="393.75"/>
  </r>
  <r>
    <x v="2"/>
    <x v="2"/>
    <x v="7"/>
    <x v="167"/>
    <x v="20"/>
    <x v="0"/>
    <n v="12.5"/>
    <n v="0"/>
    <x v="4"/>
    <s v="DOMINIO"/>
    <x v="0"/>
    <m/>
    <m/>
    <n v="350"/>
    <n v="350"/>
    <n v="393.75"/>
  </r>
  <r>
    <x v="2"/>
    <x v="2"/>
    <x v="7"/>
    <x v="124"/>
    <x v="20"/>
    <x v="0"/>
    <n v="12.5"/>
    <n v="0"/>
    <x v="4"/>
    <s v="DOMINIO"/>
    <x v="0"/>
    <m/>
    <m/>
    <n v="350"/>
    <n v="350"/>
    <n v="393.75"/>
  </r>
  <r>
    <x v="2"/>
    <x v="2"/>
    <x v="7"/>
    <x v="125"/>
    <x v="20"/>
    <x v="0"/>
    <n v="12.5"/>
    <n v="0"/>
    <x v="4"/>
    <s v="DOMINIO"/>
    <x v="0"/>
    <m/>
    <m/>
    <n v="350"/>
    <n v="350"/>
    <n v="393.75"/>
  </r>
  <r>
    <x v="2"/>
    <x v="2"/>
    <x v="7"/>
    <x v="126"/>
    <x v="20"/>
    <x v="0"/>
    <n v="12.5"/>
    <n v="0"/>
    <x v="4"/>
    <s v="DOMINIO"/>
    <x v="0"/>
    <m/>
    <m/>
    <n v="350"/>
    <n v="350"/>
    <n v="393.75"/>
  </r>
  <r>
    <x v="2"/>
    <x v="2"/>
    <x v="7"/>
    <x v="127"/>
    <x v="20"/>
    <x v="0"/>
    <n v="12.5"/>
    <n v="0"/>
    <x v="4"/>
    <s v="DOMINIO"/>
    <x v="0"/>
    <m/>
    <m/>
    <n v="350"/>
    <n v="350"/>
    <n v="393.75"/>
  </r>
  <r>
    <x v="2"/>
    <x v="2"/>
    <x v="7"/>
    <x v="276"/>
    <x v="20"/>
    <x v="0"/>
    <n v="12.5"/>
    <n v="0"/>
    <x v="4"/>
    <s v="DOMINIO"/>
    <x v="0"/>
    <m/>
    <m/>
    <n v="350"/>
    <n v="350"/>
    <n v="393.75"/>
  </r>
  <r>
    <x v="2"/>
    <x v="2"/>
    <x v="7"/>
    <x v="128"/>
    <x v="20"/>
    <x v="0"/>
    <n v="12.5"/>
    <n v="0"/>
    <x v="4"/>
    <s v="DOMINIO"/>
    <x v="0"/>
    <m/>
    <m/>
    <n v="350"/>
    <n v="350"/>
    <n v="393.75"/>
  </r>
  <r>
    <x v="2"/>
    <x v="2"/>
    <x v="7"/>
    <x v="129"/>
    <x v="20"/>
    <x v="0"/>
    <n v="12.5"/>
    <n v="0"/>
    <x v="4"/>
    <s v="DOMINIO"/>
    <x v="0"/>
    <m/>
    <m/>
    <n v="350"/>
    <n v="350"/>
    <n v="393.75"/>
  </r>
  <r>
    <x v="2"/>
    <x v="2"/>
    <x v="7"/>
    <x v="130"/>
    <x v="20"/>
    <x v="0"/>
    <n v="12.5"/>
    <n v="0"/>
    <x v="4"/>
    <s v="DOMINIO"/>
    <x v="0"/>
    <m/>
    <m/>
    <n v="350"/>
    <n v="350"/>
    <n v="393.75"/>
  </r>
  <r>
    <x v="2"/>
    <x v="2"/>
    <x v="7"/>
    <x v="131"/>
    <x v="20"/>
    <x v="0"/>
    <n v="12.5"/>
    <n v="0"/>
    <x v="4"/>
    <s v="DOMINIO"/>
    <x v="0"/>
    <m/>
    <m/>
    <n v="350"/>
    <n v="350"/>
    <n v="393.75"/>
  </r>
  <r>
    <x v="2"/>
    <x v="2"/>
    <x v="7"/>
    <x v="132"/>
    <x v="20"/>
    <x v="0"/>
    <n v="12.5"/>
    <n v="0"/>
    <x v="4"/>
    <s v="DOMINIO"/>
    <x v="0"/>
    <m/>
    <m/>
    <n v="350"/>
    <n v="350"/>
    <n v="393.75"/>
  </r>
  <r>
    <x v="2"/>
    <x v="2"/>
    <x v="7"/>
    <x v="134"/>
    <x v="20"/>
    <x v="0"/>
    <n v="12.5"/>
    <n v="0"/>
    <x v="4"/>
    <s v="DOMINIO"/>
    <x v="0"/>
    <m/>
    <m/>
    <n v="350"/>
    <n v="350"/>
    <n v="393.75"/>
  </r>
  <r>
    <x v="2"/>
    <x v="2"/>
    <x v="7"/>
    <x v="135"/>
    <x v="20"/>
    <x v="0"/>
    <n v="12.5"/>
    <n v="0"/>
    <x v="4"/>
    <s v="DOMINIO"/>
    <x v="0"/>
    <m/>
    <m/>
    <n v="350"/>
    <n v="350"/>
    <n v="393.75"/>
  </r>
  <r>
    <x v="2"/>
    <x v="2"/>
    <x v="7"/>
    <x v="137"/>
    <x v="20"/>
    <x v="0"/>
    <n v="12.5"/>
    <n v="0"/>
    <x v="4"/>
    <s v="DOMINIO"/>
    <x v="0"/>
    <m/>
    <m/>
    <n v="350"/>
    <n v="350"/>
    <n v="393.75"/>
  </r>
  <r>
    <x v="2"/>
    <x v="2"/>
    <x v="7"/>
    <x v="138"/>
    <x v="20"/>
    <x v="0"/>
    <n v="12.5"/>
    <n v="0"/>
    <x v="4"/>
    <s v="DOMINIO"/>
    <x v="0"/>
    <m/>
    <m/>
    <n v="350"/>
    <n v="350"/>
    <n v="393.75"/>
  </r>
  <r>
    <x v="2"/>
    <x v="2"/>
    <x v="7"/>
    <x v="139"/>
    <x v="20"/>
    <x v="0"/>
    <n v="12.5"/>
    <n v="0"/>
    <x v="4"/>
    <s v="DOMINIO"/>
    <x v="0"/>
    <m/>
    <m/>
    <n v="350"/>
    <n v="350"/>
    <n v="393.75"/>
  </r>
  <r>
    <x v="2"/>
    <x v="2"/>
    <x v="7"/>
    <x v="140"/>
    <x v="20"/>
    <x v="0"/>
    <n v="12.5"/>
    <n v="0"/>
    <x v="4"/>
    <s v="DOMINIO"/>
    <x v="0"/>
    <m/>
    <m/>
    <n v="350"/>
    <n v="350"/>
    <n v="393.75"/>
  </r>
  <r>
    <x v="2"/>
    <x v="2"/>
    <x v="7"/>
    <x v="141"/>
    <x v="20"/>
    <x v="0"/>
    <n v="12.5"/>
    <n v="0"/>
    <x v="4"/>
    <s v="DOMINIO"/>
    <x v="0"/>
    <m/>
    <m/>
    <n v="350"/>
    <n v="350"/>
    <n v="393.75"/>
  </r>
  <r>
    <x v="2"/>
    <x v="2"/>
    <x v="7"/>
    <x v="142"/>
    <x v="20"/>
    <x v="0"/>
    <n v="12.5"/>
    <n v="0"/>
    <x v="4"/>
    <s v="DOMINIO"/>
    <x v="0"/>
    <m/>
    <m/>
    <n v="350"/>
    <n v="350"/>
    <n v="393.75"/>
  </r>
  <r>
    <x v="2"/>
    <x v="2"/>
    <x v="7"/>
    <x v="143"/>
    <x v="6"/>
    <x v="0"/>
    <n v="12.5"/>
    <n v="0"/>
    <x v="4"/>
    <s v="DOMINIO"/>
    <x v="0"/>
    <m/>
    <m/>
    <n v="350"/>
    <n v="350"/>
    <n v="393.75"/>
  </r>
  <r>
    <x v="2"/>
    <x v="2"/>
    <x v="7"/>
    <x v="171"/>
    <x v="6"/>
    <x v="0"/>
    <n v="12.5"/>
    <n v="0"/>
    <x v="4"/>
    <s v="DOMINIO"/>
    <x v="0"/>
    <m/>
    <m/>
    <n v="300"/>
    <n v="300"/>
    <n v="337.5"/>
  </r>
  <r>
    <x v="2"/>
    <x v="2"/>
    <x v="7"/>
    <x v="172"/>
    <x v="6"/>
    <x v="0"/>
    <n v="12.5"/>
    <n v="0"/>
    <x v="4"/>
    <s v="DOMINIO"/>
    <x v="0"/>
    <m/>
    <m/>
    <n v="300"/>
    <n v="300"/>
    <n v="337.5"/>
  </r>
  <r>
    <x v="2"/>
    <x v="2"/>
    <x v="7"/>
    <x v="147"/>
    <x v="6"/>
    <x v="0"/>
    <n v="12.5"/>
    <n v="0"/>
    <x v="4"/>
    <s v="DOMINIO"/>
    <x v="0"/>
    <m/>
    <m/>
    <n v="300"/>
    <n v="300"/>
    <n v="337.5"/>
  </r>
  <r>
    <x v="2"/>
    <x v="2"/>
    <x v="7"/>
    <x v="173"/>
    <x v="6"/>
    <x v="0"/>
    <n v="12.5"/>
    <n v="0"/>
    <x v="4"/>
    <s v="DOMINIO"/>
    <x v="0"/>
    <m/>
    <m/>
    <n v="300"/>
    <n v="300"/>
    <n v="337.5"/>
  </r>
  <r>
    <x v="2"/>
    <x v="2"/>
    <x v="7"/>
    <x v="174"/>
    <x v="6"/>
    <x v="0"/>
    <n v="12.5"/>
    <n v="0"/>
    <x v="4"/>
    <s v="DOMINIO"/>
    <x v="0"/>
    <m/>
    <m/>
    <n v="300"/>
    <n v="300"/>
    <n v="337.5"/>
  </r>
  <r>
    <x v="2"/>
    <x v="2"/>
    <x v="7"/>
    <x v="148"/>
    <x v="6"/>
    <x v="0"/>
    <n v="12.5"/>
    <n v="0"/>
    <x v="4"/>
    <s v="DOMINIO"/>
    <x v="0"/>
    <m/>
    <m/>
    <n v="300"/>
    <n v="300"/>
    <n v="337.5"/>
  </r>
  <r>
    <x v="2"/>
    <x v="2"/>
    <x v="7"/>
    <x v="149"/>
    <x v="6"/>
    <x v="0"/>
    <n v="12.5"/>
    <n v="0"/>
    <x v="4"/>
    <s v="DOMINIO"/>
    <x v="0"/>
    <m/>
    <m/>
    <n v="300"/>
    <n v="300"/>
    <n v="337.5"/>
  </r>
  <r>
    <x v="2"/>
    <x v="2"/>
    <x v="7"/>
    <x v="175"/>
    <x v="6"/>
    <x v="0"/>
    <n v="12.5"/>
    <n v="0"/>
    <x v="4"/>
    <s v="DOMINIO"/>
    <x v="0"/>
    <m/>
    <m/>
    <n v="300"/>
    <n v="300"/>
    <n v="337.5"/>
  </r>
  <r>
    <x v="2"/>
    <x v="2"/>
    <x v="7"/>
    <x v="150"/>
    <x v="6"/>
    <x v="0"/>
    <n v="12.5"/>
    <n v="0"/>
    <x v="4"/>
    <s v="DOMINIO"/>
    <x v="0"/>
    <m/>
    <m/>
    <n v="300"/>
    <n v="300"/>
    <n v="337.5"/>
  </r>
  <r>
    <x v="2"/>
    <x v="2"/>
    <x v="7"/>
    <x v="176"/>
    <x v="6"/>
    <x v="0"/>
    <n v="12.5"/>
    <n v="0"/>
    <x v="4"/>
    <s v="DOMINIO"/>
    <x v="0"/>
    <m/>
    <m/>
    <n v="300"/>
    <n v="300"/>
    <n v="337.5"/>
  </r>
  <r>
    <x v="2"/>
    <x v="2"/>
    <x v="7"/>
    <x v="151"/>
    <x v="6"/>
    <x v="0"/>
    <n v="12.5"/>
    <n v="0"/>
    <x v="4"/>
    <s v="DOMINIO"/>
    <x v="0"/>
    <m/>
    <m/>
    <n v="300"/>
    <n v="300"/>
    <n v="337.5"/>
  </r>
  <r>
    <x v="2"/>
    <x v="2"/>
    <x v="7"/>
    <x v="152"/>
    <x v="6"/>
    <x v="0"/>
    <n v="12.5"/>
    <n v="0"/>
    <x v="4"/>
    <s v="DOMINIO"/>
    <x v="0"/>
    <m/>
    <m/>
    <n v="300"/>
    <n v="300"/>
    <n v="337.5"/>
  </r>
  <r>
    <x v="2"/>
    <x v="2"/>
    <x v="7"/>
    <x v="153"/>
    <x v="6"/>
    <x v="0"/>
    <n v="12.5"/>
    <n v="0"/>
    <x v="4"/>
    <s v="DOMINIO"/>
    <x v="0"/>
    <m/>
    <m/>
    <n v="300"/>
    <n v="300"/>
    <n v="337.5"/>
  </r>
  <r>
    <x v="3"/>
    <x v="0"/>
    <x v="0"/>
    <x v="196"/>
    <x v="6"/>
    <x v="0"/>
    <n v="31.07"/>
    <n v="2.86"/>
    <x v="8"/>
    <s v="DOMINIO"/>
    <x v="0"/>
    <m/>
    <m/>
    <n v="2311"/>
    <n v="2010.57"/>
    <n v="2261.8912499999997"/>
  </r>
  <r>
    <x v="3"/>
    <x v="0"/>
    <x v="0"/>
    <x v="296"/>
    <x v="3"/>
    <x v="2"/>
    <n v="31.07"/>
    <n v="2.86"/>
    <x v="8"/>
    <s v="DOMINIO"/>
    <x v="0"/>
    <m/>
    <m/>
    <n v="2370"/>
    <n v="2061.9"/>
    <n v="2319.6374999999998"/>
  </r>
  <r>
    <x v="3"/>
    <x v="0"/>
    <x v="0"/>
    <x v="372"/>
    <x v="0"/>
    <x v="0"/>
    <n v="31.07"/>
    <n v="2.86"/>
    <x v="8"/>
    <s v="DOMINIO"/>
    <x v="1"/>
    <m/>
    <m/>
    <n v="2382"/>
    <n v="2072.34"/>
    <n v="2331.3825000000002"/>
  </r>
  <r>
    <x v="3"/>
    <x v="0"/>
    <x v="0"/>
    <x v="14"/>
    <x v="9"/>
    <x v="0"/>
    <n v="31.07"/>
    <n v="2.86"/>
    <x v="8"/>
    <s v="DOMINIO"/>
    <x v="1"/>
    <m/>
    <m/>
    <n v="2429"/>
    <n v="2113.23"/>
    <n v="2377.38375"/>
  </r>
  <r>
    <x v="3"/>
    <x v="0"/>
    <x v="0"/>
    <x v="21"/>
    <x v="10"/>
    <x v="0"/>
    <n v="31.07"/>
    <n v="2.86"/>
    <x v="8"/>
    <s v="DOMINIO"/>
    <x v="0"/>
    <m/>
    <m/>
    <n v="2452"/>
    <n v="2133.2399999999998"/>
    <n v="2399.8949999999995"/>
  </r>
  <r>
    <x v="3"/>
    <x v="0"/>
    <x v="0"/>
    <x v="400"/>
    <x v="12"/>
    <x v="0"/>
    <n v="31.07"/>
    <n v="2.86"/>
    <x v="8"/>
    <s v="DOMINIO"/>
    <x v="0"/>
    <m/>
    <m/>
    <n v="2470"/>
    <n v="2148.9"/>
    <n v="2417.5124999999998"/>
  </r>
  <r>
    <x v="3"/>
    <x v="0"/>
    <x v="3"/>
    <x v="202"/>
    <x v="6"/>
    <x v="0"/>
    <n v="36.9"/>
    <n v="2.2400000000000002"/>
    <x v="6"/>
    <s v="DOMINIO"/>
    <x v="0"/>
    <m/>
    <m/>
    <n v="2390"/>
    <n v="2079.3000000000002"/>
    <n v="2339.2125000000001"/>
  </r>
  <r>
    <x v="3"/>
    <x v="0"/>
    <x v="3"/>
    <x v="202"/>
    <x v="6"/>
    <x v="2"/>
    <n v="36.9"/>
    <n v="2.2400000000000002"/>
    <x v="5"/>
    <s v="DOMINIO"/>
    <x v="1"/>
    <m/>
    <m/>
    <n v="2472"/>
    <n v="2150.64"/>
    <n v="2419.4699999999998"/>
  </r>
  <r>
    <x v="3"/>
    <x v="0"/>
    <x v="3"/>
    <x v="293"/>
    <x v="3"/>
    <x v="2"/>
    <n v="36.9"/>
    <n v="2.2400000000000002"/>
    <x v="5"/>
    <s v="DOMINIO"/>
    <x v="0"/>
    <m/>
    <m/>
    <n v="2531"/>
    <n v="2201.9699999999998"/>
    <n v="2477.2162499999995"/>
  </r>
  <r>
    <x v="3"/>
    <x v="0"/>
    <x v="3"/>
    <x v="371"/>
    <x v="3"/>
    <x v="0"/>
    <n v="37.29"/>
    <n v="2.2400000000000002"/>
    <x v="6"/>
    <s v="DOMINIO"/>
    <x v="2"/>
    <m/>
    <s v="Assetplan - Asociado Est 252"/>
    <n v="2449"/>
    <n v="2130.63"/>
    <n v="2396.9587499999998"/>
  </r>
  <r>
    <x v="3"/>
    <x v="0"/>
    <x v="3"/>
    <x v="401"/>
    <x v="0"/>
    <x v="2"/>
    <n v="46.18"/>
    <n v="2.2400000000000002"/>
    <x v="7"/>
    <s v="DOMINIO"/>
    <x v="2"/>
    <m/>
    <s v="Assetplan"/>
    <n v="2496"/>
    <n v="2171.52"/>
    <n v="2442.9599999999996"/>
  </r>
  <r>
    <x v="3"/>
    <x v="0"/>
    <x v="3"/>
    <x v="402"/>
    <x v="0"/>
    <x v="2"/>
    <n v="36.9"/>
    <n v="2.2400000000000002"/>
    <x v="5"/>
    <s v="DOMINIO"/>
    <x v="2"/>
    <m/>
    <s v="Assetplan"/>
    <n v="2543"/>
    <n v="2212.41"/>
    <n v="2488.9612499999998"/>
  </r>
  <r>
    <x v="3"/>
    <x v="0"/>
    <x v="3"/>
    <x v="302"/>
    <x v="0"/>
    <x v="0"/>
    <n v="37.29"/>
    <n v="2.2400000000000002"/>
    <x v="5"/>
    <s v="DOMINIO"/>
    <x v="2"/>
    <m/>
    <s v="Assetplan - Asociado Est 101"/>
    <n v="2543"/>
    <n v="2212.41"/>
    <n v="2488.9612499999998"/>
  </r>
  <r>
    <x v="3"/>
    <x v="0"/>
    <x v="3"/>
    <x v="312"/>
    <x v="7"/>
    <x v="2"/>
    <n v="37"/>
    <n v="2.2400000000000002"/>
    <x v="6"/>
    <s v="DOMINIO"/>
    <x v="1"/>
    <m/>
    <m/>
    <n v="2484"/>
    <n v="2161.08"/>
    <n v="2431.2149999999997"/>
  </r>
  <r>
    <x v="3"/>
    <x v="0"/>
    <x v="3"/>
    <x v="315"/>
    <x v="7"/>
    <x v="2"/>
    <n v="36.9"/>
    <n v="2.2400000000000002"/>
    <x v="5"/>
    <s v="DOMINIO"/>
    <x v="1"/>
    <m/>
    <m/>
    <n v="2566"/>
    <n v="2232.42"/>
    <n v="2511.4724999999999"/>
  </r>
  <r>
    <x v="3"/>
    <x v="0"/>
    <x v="3"/>
    <x v="380"/>
    <x v="8"/>
    <x v="0"/>
    <n v="36.9"/>
    <n v="2.2400000000000002"/>
    <x v="6"/>
    <s v="DOMINIO"/>
    <x v="0"/>
    <m/>
    <m/>
    <n v="2496"/>
    <n v="2171.52"/>
    <n v="2442.9599999999996"/>
  </r>
  <r>
    <x v="3"/>
    <x v="0"/>
    <x v="3"/>
    <x v="328"/>
    <x v="9"/>
    <x v="2"/>
    <n v="37"/>
    <n v="2.2400000000000002"/>
    <x v="6"/>
    <s v="DOMINIO"/>
    <x v="1"/>
    <m/>
    <m/>
    <n v="2508"/>
    <n v="2181.96"/>
    <n v="2454.7049999999999"/>
  </r>
  <r>
    <x v="3"/>
    <x v="0"/>
    <x v="3"/>
    <x v="239"/>
    <x v="9"/>
    <x v="0"/>
    <n v="36.9"/>
    <n v="2.2400000000000002"/>
    <x v="6"/>
    <s v="DOMINIO"/>
    <x v="2"/>
    <m/>
    <s v="Assetplan - Asociado Est 354"/>
    <n v="2508"/>
    <n v="2181.96"/>
    <n v="2454.7049999999999"/>
  </r>
  <r>
    <x v="3"/>
    <x v="0"/>
    <x v="3"/>
    <x v="331"/>
    <x v="9"/>
    <x v="2"/>
    <n v="36.9"/>
    <n v="2.2400000000000002"/>
    <x v="5"/>
    <s v="DOMINIO"/>
    <x v="0"/>
    <m/>
    <m/>
    <n v="2590"/>
    <n v="2253.3000000000002"/>
    <n v="2534.9625000000001"/>
  </r>
  <r>
    <x v="3"/>
    <x v="0"/>
    <x v="3"/>
    <x v="260"/>
    <x v="9"/>
    <x v="0"/>
    <n v="36.9"/>
    <n v="2.2400000000000002"/>
    <x v="5"/>
    <s v="DOMINIO"/>
    <x v="1"/>
    <m/>
    <m/>
    <n v="2590"/>
    <n v="2253.3000000000002"/>
    <n v="2534.9625000000001"/>
  </r>
  <r>
    <x v="3"/>
    <x v="0"/>
    <x v="3"/>
    <x v="336"/>
    <x v="5"/>
    <x v="2"/>
    <n v="37"/>
    <n v="2.2400000000000002"/>
    <x v="6"/>
    <s v="DOMINIO"/>
    <x v="2"/>
    <m/>
    <s v="Assetplan"/>
    <n v="2519"/>
    <n v="2191.5300000000002"/>
    <n v="2465.4712500000001"/>
  </r>
  <r>
    <x v="3"/>
    <x v="0"/>
    <x v="3"/>
    <x v="382"/>
    <x v="5"/>
    <x v="2"/>
    <n v="36.9"/>
    <n v="2.2400000000000002"/>
    <x v="5"/>
    <s v="DOMINIO"/>
    <x v="1"/>
    <m/>
    <m/>
    <n v="2602"/>
    <n v="2263.7399999999998"/>
    <n v="2546.7074999999995"/>
  </r>
  <r>
    <x v="3"/>
    <x v="0"/>
    <x v="3"/>
    <x v="338"/>
    <x v="5"/>
    <x v="0"/>
    <n v="36.9"/>
    <n v="2.2400000000000002"/>
    <x v="6"/>
    <s v="DOMINIO"/>
    <x v="0"/>
    <m/>
    <m/>
    <n v="2519"/>
    <n v="2191.5300000000002"/>
    <n v="2465.4712500000001"/>
  </r>
  <r>
    <x v="3"/>
    <x v="0"/>
    <x v="3"/>
    <x v="338"/>
    <x v="5"/>
    <x v="2"/>
    <n v="36.9"/>
    <n v="2.2400000000000002"/>
    <x v="5"/>
    <s v="DOMINIO"/>
    <x v="1"/>
    <m/>
    <m/>
    <n v="2602"/>
    <n v="2263.7399999999998"/>
    <n v="2546.7074999999995"/>
  </r>
  <r>
    <x v="3"/>
    <x v="0"/>
    <x v="3"/>
    <x v="265"/>
    <x v="5"/>
    <x v="0"/>
    <n v="36.9"/>
    <n v="2.2400000000000002"/>
    <x v="5"/>
    <s v="DOMINIO"/>
    <x v="1"/>
    <m/>
    <m/>
    <n v="2602"/>
    <n v="2263.7399999999998"/>
    <n v="2546.7074999999995"/>
  </r>
  <r>
    <x v="3"/>
    <x v="0"/>
    <x v="3"/>
    <x v="385"/>
    <x v="10"/>
    <x v="0"/>
    <n v="37.29"/>
    <n v="2.2400000000000002"/>
    <x v="6"/>
    <s v="DOMINIO"/>
    <x v="1"/>
    <m/>
    <m/>
    <n v="2531"/>
    <n v="2201.9699999999998"/>
    <n v="2477.2162499999995"/>
  </r>
  <r>
    <x v="3"/>
    <x v="0"/>
    <x v="3"/>
    <x v="365"/>
    <x v="10"/>
    <x v="0"/>
    <n v="36.9"/>
    <n v="2.2400000000000002"/>
    <x v="5"/>
    <s v="DOMINIO"/>
    <x v="2"/>
    <m/>
    <s v="Assetplan - Asociado Est 56"/>
    <n v="2614"/>
    <n v="2274.1799999999998"/>
    <n v="2558.4524999999994"/>
  </r>
  <r>
    <x v="3"/>
    <x v="0"/>
    <x v="3"/>
    <x v="346"/>
    <x v="11"/>
    <x v="2"/>
    <n v="37"/>
    <n v="2.2400000000000002"/>
    <x v="6"/>
    <s v="DOMINIO"/>
    <x v="1"/>
    <m/>
    <m/>
    <n v="2543"/>
    <n v="2212.41"/>
    <n v="2488.9612499999998"/>
  </r>
  <r>
    <x v="3"/>
    <x v="0"/>
    <x v="3"/>
    <x v="348"/>
    <x v="11"/>
    <x v="0"/>
    <n v="36.9"/>
    <n v="2.2400000000000002"/>
    <x v="6"/>
    <s v="DOMINIO"/>
    <x v="1"/>
    <m/>
    <m/>
    <n v="2543"/>
    <n v="2212.41"/>
    <n v="2488.9612499999998"/>
  </r>
  <r>
    <x v="3"/>
    <x v="0"/>
    <x v="3"/>
    <x v="348"/>
    <x v="11"/>
    <x v="2"/>
    <n v="36.9"/>
    <n v="2.2400000000000002"/>
    <x v="5"/>
    <s v="DOMINIO"/>
    <x v="0"/>
    <m/>
    <m/>
    <n v="2625"/>
    <n v="2283.75"/>
    <n v="2569.21875"/>
  </r>
  <r>
    <x v="3"/>
    <x v="0"/>
    <x v="3"/>
    <x v="349"/>
    <x v="11"/>
    <x v="0"/>
    <n v="37.29"/>
    <n v="2.2400000000000002"/>
    <x v="5"/>
    <s v="DOMINIO"/>
    <x v="1"/>
    <m/>
    <m/>
    <n v="2625"/>
    <n v="2283.75"/>
    <n v="2569.21875"/>
  </r>
  <r>
    <x v="3"/>
    <x v="0"/>
    <x v="3"/>
    <x v="403"/>
    <x v="12"/>
    <x v="2"/>
    <n v="37"/>
    <n v="2.2400000000000002"/>
    <x v="6"/>
    <s v="DOMINIO"/>
    <x v="0"/>
    <m/>
    <m/>
    <n v="2549"/>
    <n v="2217.63"/>
    <n v="2494.8337500000002"/>
  </r>
  <r>
    <x v="3"/>
    <x v="0"/>
    <x v="3"/>
    <x v="404"/>
    <x v="12"/>
    <x v="0"/>
    <n v="36.9"/>
    <n v="2.2400000000000002"/>
    <x v="6"/>
    <s v="DOMINIO"/>
    <x v="0"/>
    <m/>
    <m/>
    <n v="2549"/>
    <n v="2217.63"/>
    <n v="2494.8337500000002"/>
  </r>
  <r>
    <x v="3"/>
    <x v="0"/>
    <x v="3"/>
    <x v="405"/>
    <x v="12"/>
    <x v="0"/>
    <n v="37.29"/>
    <n v="2.2400000000000002"/>
    <x v="6"/>
    <s v="DOMINIO"/>
    <x v="1"/>
    <m/>
    <m/>
    <n v="2549"/>
    <n v="2217.63"/>
    <n v="2494.8337500000002"/>
  </r>
  <r>
    <x v="3"/>
    <x v="0"/>
    <x v="4"/>
    <x v="208"/>
    <x v="6"/>
    <x v="0"/>
    <n v="42.83"/>
    <n v="2.2400000000000002"/>
    <x v="5"/>
    <s v="DOMINIO"/>
    <x v="2"/>
    <m/>
    <s v="Assetplan con Est. 367"/>
    <n v="2642"/>
    <n v="2298.54"/>
    <n v="2585.8575000000001"/>
  </r>
  <r>
    <x v="3"/>
    <x v="0"/>
    <x v="4"/>
    <x v="277"/>
    <x v="3"/>
    <x v="2"/>
    <n v="42.83"/>
    <n v="2.2400000000000002"/>
    <x v="7"/>
    <s v="DOMINIO"/>
    <x v="2"/>
    <m/>
    <s v="Assetplan"/>
    <n v="2654"/>
    <n v="2308.98"/>
    <n v="2597.6024999999995"/>
  </r>
  <r>
    <x v="3"/>
    <x v="0"/>
    <x v="4"/>
    <x v="3"/>
    <x v="3"/>
    <x v="0"/>
    <n v="42.92"/>
    <n v="2.2400000000000002"/>
    <x v="5"/>
    <s v="DOMINIO"/>
    <x v="0"/>
    <m/>
    <m/>
    <n v="2701"/>
    <n v="2349.87"/>
    <n v="2643.6037499999998"/>
  </r>
  <r>
    <x v="3"/>
    <x v="0"/>
    <x v="4"/>
    <x v="353"/>
    <x v="3"/>
    <x v="0"/>
    <n v="42.83"/>
    <n v="2.2400000000000002"/>
    <x v="7"/>
    <s v="DOMINIO"/>
    <x v="0"/>
    <m/>
    <m/>
    <n v="2654"/>
    <n v="2308.98"/>
    <n v="2597.6024999999995"/>
  </r>
  <r>
    <x v="3"/>
    <x v="0"/>
    <x v="4"/>
    <x v="252"/>
    <x v="7"/>
    <x v="0"/>
    <n v="42.83"/>
    <n v="2.2400000000000002"/>
    <x v="7"/>
    <s v="DOMINIO"/>
    <x v="2"/>
    <m/>
    <s v="Assetplan - Asociado Est 107"/>
    <n v="2689"/>
    <n v="2339.4299999999998"/>
    <n v="2631.8587499999999"/>
  </r>
  <r>
    <x v="3"/>
    <x v="0"/>
    <x v="4"/>
    <x v="318"/>
    <x v="7"/>
    <x v="0"/>
    <n v="42.83"/>
    <n v="2.2400000000000002"/>
    <x v="7"/>
    <s v="DOMINIO"/>
    <x v="2"/>
    <m/>
    <s v="Assetplan - Asociado Est 109"/>
    <n v="2689"/>
    <n v="2339.4299999999998"/>
    <n v="2631.8587499999999"/>
  </r>
  <r>
    <x v="3"/>
    <x v="0"/>
    <x v="4"/>
    <x v="361"/>
    <x v="8"/>
    <x v="2"/>
    <n v="42.83"/>
    <n v="2.2400000000000002"/>
    <x v="8"/>
    <s v="DOMINIO"/>
    <x v="2"/>
    <m/>
    <s v="Assetplan con Est. 350"/>
    <n v="2724"/>
    <n v="2369.88"/>
    <n v="2666.1150000000002"/>
  </r>
  <r>
    <x v="3"/>
    <x v="0"/>
    <x v="4"/>
    <x v="390"/>
    <x v="8"/>
    <x v="0"/>
    <n v="42.92"/>
    <n v="2.2400000000000002"/>
    <x v="5"/>
    <s v="DOMINIO"/>
    <x v="2"/>
    <m/>
    <s v="Assetplan con Est. 363"/>
    <n v="2748"/>
    <n v="2390.7599999999998"/>
    <n v="2689.6049999999996"/>
  </r>
  <r>
    <x v="3"/>
    <x v="0"/>
    <x v="4"/>
    <x v="76"/>
    <x v="9"/>
    <x v="2"/>
    <n v="42.83"/>
    <n v="2.2400000000000002"/>
    <x v="7"/>
    <s v="DOMINIO"/>
    <x v="2"/>
    <m/>
    <s v="Assetplan"/>
    <n v="2712"/>
    <n v="2359.44"/>
    <n v="2654.37"/>
  </r>
  <r>
    <x v="3"/>
    <x v="0"/>
    <x v="4"/>
    <x v="20"/>
    <x v="5"/>
    <x v="2"/>
    <n v="43.07"/>
    <n v="2.2400000000000002"/>
    <x v="5"/>
    <s v="DOMINIO"/>
    <x v="2"/>
    <m/>
    <s v="Assetplan con Est. 360"/>
    <n v="2771"/>
    <n v="2410.77"/>
    <n v="2712.11625"/>
  </r>
  <r>
    <x v="3"/>
    <x v="0"/>
    <x v="4"/>
    <x v="24"/>
    <x v="10"/>
    <x v="2"/>
    <n v="43.07"/>
    <n v="2.2400000000000002"/>
    <x v="5"/>
    <s v="DOMINIO"/>
    <x v="2"/>
    <m/>
    <s v="Assetplan con Est. 374"/>
    <n v="2783"/>
    <n v="2421.21"/>
    <n v="2723.8612499999999"/>
  </r>
  <r>
    <x v="3"/>
    <x v="0"/>
    <x v="5"/>
    <x v="195"/>
    <x v="6"/>
    <x v="0"/>
    <n v="46.18"/>
    <n v="2.2400000000000002"/>
    <x v="8"/>
    <s v="DOMINIO"/>
    <x v="0"/>
    <m/>
    <m/>
    <n v="2670"/>
    <n v="2322.9"/>
    <n v="2613.2624999999998"/>
  </r>
  <r>
    <x v="3"/>
    <x v="0"/>
    <x v="5"/>
    <x v="277"/>
    <x v="3"/>
    <x v="0"/>
    <n v="46.18"/>
    <n v="2.2400000000000002"/>
    <x v="7"/>
    <s v="DOMINIO"/>
    <x v="2"/>
    <m/>
    <s v="Assetplan"/>
    <n v="2705"/>
    <n v="2353.35"/>
    <n v="2647.5187499999997"/>
  </r>
  <r>
    <x v="3"/>
    <x v="0"/>
    <x v="5"/>
    <x v="369"/>
    <x v="3"/>
    <x v="0"/>
    <n v="46.56"/>
    <n v="2.2400000000000002"/>
    <x v="7"/>
    <s v="DOMINIO"/>
    <x v="2"/>
    <m/>
    <s v="Assetplan"/>
    <n v="2705"/>
    <n v="2353.35"/>
    <n v="2647.5187499999997"/>
  </r>
  <r>
    <x v="3"/>
    <x v="0"/>
    <x v="5"/>
    <x v="290"/>
    <x v="3"/>
    <x v="0"/>
    <n v="46.56"/>
    <n v="2.2400000000000002"/>
    <x v="8"/>
    <s v="DOMINIO"/>
    <x v="2"/>
    <m/>
    <s v="Assetplan con Est. 395"/>
    <n v="2729"/>
    <n v="2374.23"/>
    <n v="2671.0087499999995"/>
  </r>
  <r>
    <x v="3"/>
    <x v="0"/>
    <x v="5"/>
    <x v="406"/>
    <x v="3"/>
    <x v="0"/>
    <n v="46.18"/>
    <n v="2.2400000000000002"/>
    <x v="8"/>
    <s v="DOMINIO"/>
    <x v="2"/>
    <m/>
    <s v="Assetplan con Est. 396"/>
    <n v="2729"/>
    <n v="2374.23"/>
    <n v="2671.0087499999995"/>
  </r>
  <r>
    <x v="3"/>
    <x v="0"/>
    <x v="5"/>
    <x v="291"/>
    <x v="3"/>
    <x v="0"/>
    <n v="46.18"/>
    <n v="2.2400000000000002"/>
    <x v="8"/>
    <s v="DOMINIO"/>
    <x v="2"/>
    <m/>
    <s v="Assetplan con Est. 397"/>
    <n v="2729"/>
    <n v="2374.23"/>
    <n v="2671.0087499999995"/>
  </r>
  <r>
    <x v="3"/>
    <x v="0"/>
    <x v="5"/>
    <x v="371"/>
    <x v="3"/>
    <x v="2"/>
    <n v="46.7"/>
    <n v="2.2400000000000002"/>
    <x v="8"/>
    <s v="DOMINIO"/>
    <x v="2"/>
    <m/>
    <s v="Assetplan con Est. 423"/>
    <n v="2729"/>
    <n v="2374.23"/>
    <n v="2671.0087499999995"/>
  </r>
  <r>
    <x v="3"/>
    <x v="0"/>
    <x v="5"/>
    <x v="353"/>
    <x v="3"/>
    <x v="2"/>
    <n v="46.18"/>
    <n v="2.2400000000000002"/>
    <x v="8"/>
    <s v="DOMINIO"/>
    <x v="2"/>
    <m/>
    <s v="Assetplan con Est. 424"/>
    <n v="2729"/>
    <n v="2374.23"/>
    <n v="2671.0087499999995"/>
  </r>
  <r>
    <x v="3"/>
    <x v="0"/>
    <x v="5"/>
    <x v="297"/>
    <x v="3"/>
    <x v="2"/>
    <n v="46.56"/>
    <n v="2.2400000000000002"/>
    <x v="8"/>
    <s v="DOMINIO"/>
    <x v="2"/>
    <m/>
    <s v="Assetplan"/>
    <n v="2729"/>
    <n v="2374.23"/>
    <n v="2671.0087499999995"/>
  </r>
  <r>
    <x v="3"/>
    <x v="0"/>
    <x v="5"/>
    <x v="73"/>
    <x v="0"/>
    <x v="0"/>
    <n v="46.56"/>
    <n v="2.2400000000000002"/>
    <x v="7"/>
    <s v="DOMINIO"/>
    <x v="2"/>
    <m/>
    <s v="Assetplan con Est. 389"/>
    <n v="2717"/>
    <n v="2363.79"/>
    <n v="2659.2637500000001"/>
  </r>
  <r>
    <x v="3"/>
    <x v="0"/>
    <x v="5"/>
    <x v="401"/>
    <x v="0"/>
    <x v="0"/>
    <n v="46.56"/>
    <n v="2.2400000000000002"/>
    <x v="8"/>
    <s v="DOMINIO"/>
    <x v="2"/>
    <m/>
    <s v="Assetplan con Est. 398"/>
    <n v="2741"/>
    <n v="2384.67"/>
    <n v="2682.7537499999999"/>
  </r>
  <r>
    <x v="3"/>
    <x v="0"/>
    <x v="5"/>
    <x v="298"/>
    <x v="0"/>
    <x v="0"/>
    <n v="46.18"/>
    <n v="2.2400000000000002"/>
    <x v="8"/>
    <s v="DOMINIO"/>
    <x v="2"/>
    <m/>
    <s v="Assetplan con Est. 378"/>
    <n v="2741"/>
    <n v="2384.67"/>
    <n v="2682.7537499999999"/>
  </r>
  <r>
    <x v="3"/>
    <x v="0"/>
    <x v="5"/>
    <x v="354"/>
    <x v="0"/>
    <x v="0"/>
    <n v="46.7"/>
    <n v="2.2400000000000002"/>
    <x v="8"/>
    <s v="DOMINIO"/>
    <x v="2"/>
    <m/>
    <s v="Assetplan con Est. 399"/>
    <n v="2741"/>
    <n v="2384.67"/>
    <n v="2682.7537499999999"/>
  </r>
  <r>
    <x v="3"/>
    <x v="0"/>
    <x v="5"/>
    <x v="302"/>
    <x v="0"/>
    <x v="2"/>
    <n v="46.18"/>
    <n v="2.2400000000000002"/>
    <x v="8"/>
    <s v="DOMINIO"/>
    <x v="2"/>
    <m/>
    <s v="Assetplan - Asociado Est 387"/>
    <n v="2741"/>
    <n v="2384.67"/>
    <n v="2682.7537499999999"/>
  </r>
  <r>
    <x v="3"/>
    <x v="0"/>
    <x v="5"/>
    <x v="356"/>
    <x v="0"/>
    <x v="2"/>
    <n v="46.18"/>
    <n v="2.2400000000000002"/>
    <x v="8"/>
    <s v="DOMINIO"/>
    <x v="2"/>
    <m/>
    <s v="Assetplan con Est. 284"/>
    <n v="2741"/>
    <n v="2384.67"/>
    <n v="2682.7537499999999"/>
  </r>
  <r>
    <x v="3"/>
    <x v="0"/>
    <x v="5"/>
    <x v="0"/>
    <x v="0"/>
    <x v="2"/>
    <n v="46.56"/>
    <n v="2.2400000000000002"/>
    <x v="8"/>
    <s v="DOMINIO"/>
    <x v="2"/>
    <m/>
    <s v="Assetplan"/>
    <n v="2741"/>
    <n v="2384.67"/>
    <n v="2682.7537499999999"/>
  </r>
  <r>
    <x v="3"/>
    <x v="0"/>
    <x v="5"/>
    <x v="280"/>
    <x v="4"/>
    <x v="0"/>
    <n v="46.18"/>
    <n v="2.2400000000000002"/>
    <x v="7"/>
    <s v="DOMINIO"/>
    <x v="2"/>
    <m/>
    <s v="Assetplan - Asociado Est 58"/>
    <n v="2729"/>
    <n v="2374.23"/>
    <n v="2671.0087499999995"/>
  </r>
  <r>
    <x v="3"/>
    <x v="0"/>
    <x v="5"/>
    <x v="357"/>
    <x v="4"/>
    <x v="0"/>
    <n v="46.7"/>
    <n v="2.2400000000000002"/>
    <x v="8"/>
    <s v="DOMINIO"/>
    <x v="2"/>
    <m/>
    <s v="Assetplan con Est. 402"/>
    <n v="2752"/>
    <n v="2394.2399999999998"/>
    <n v="2693.5199999999995"/>
  </r>
  <r>
    <x v="3"/>
    <x v="0"/>
    <x v="5"/>
    <x v="309"/>
    <x v="4"/>
    <x v="2"/>
    <n v="46.18"/>
    <n v="2.2400000000000002"/>
    <x v="8"/>
    <s v="DOMINIO"/>
    <x v="2"/>
    <m/>
    <s v="Assetplan con Est. 377"/>
    <n v="2752"/>
    <n v="2394.2399999999998"/>
    <n v="2693.5199999999995"/>
  </r>
  <r>
    <x v="3"/>
    <x v="0"/>
    <x v="5"/>
    <x v="359"/>
    <x v="4"/>
    <x v="2"/>
    <n v="46.18"/>
    <n v="2.2400000000000002"/>
    <x v="8"/>
    <s v="DOMINIO"/>
    <x v="2"/>
    <m/>
    <s v="Assetplan con Est. 425"/>
    <n v="2752"/>
    <n v="2394.2399999999998"/>
    <n v="2693.5199999999995"/>
  </r>
  <r>
    <x v="3"/>
    <x v="0"/>
    <x v="5"/>
    <x v="251"/>
    <x v="4"/>
    <x v="2"/>
    <n v="46.56"/>
    <n v="2.2400000000000002"/>
    <x v="8"/>
    <s v="DOMINIO"/>
    <x v="2"/>
    <m/>
    <s v="Assetplan con Est. 431"/>
    <n v="2752"/>
    <n v="2394.2399999999998"/>
    <n v="2693.5199999999995"/>
  </r>
  <r>
    <x v="3"/>
    <x v="0"/>
    <x v="5"/>
    <x v="312"/>
    <x v="7"/>
    <x v="0"/>
    <n v="46.18"/>
    <n v="2.2400000000000002"/>
    <x v="8"/>
    <s v="DOMINIO"/>
    <x v="2"/>
    <m/>
    <s v="Assetplan con Est. 388"/>
    <n v="2764"/>
    <n v="2404.6799999999998"/>
    <n v="2705.2649999999999"/>
  </r>
  <r>
    <x v="3"/>
    <x v="0"/>
    <x v="5"/>
    <x v="378"/>
    <x v="7"/>
    <x v="2"/>
    <n v="46.7"/>
    <n v="2.2400000000000002"/>
    <x v="8"/>
    <s v="DOMINIO"/>
    <x v="2"/>
    <m/>
    <s v="Assetplan con Est. 432"/>
    <n v="2764"/>
    <n v="2404.6799999999998"/>
    <n v="2705.2649999999999"/>
  </r>
  <r>
    <x v="3"/>
    <x v="0"/>
    <x v="5"/>
    <x v="316"/>
    <x v="7"/>
    <x v="2"/>
    <n v="46.18"/>
    <n v="2.2400000000000002"/>
    <x v="8"/>
    <s v="DOMINIO"/>
    <x v="2"/>
    <m/>
    <s v="Assetplan con Est. 433"/>
    <n v="2764"/>
    <n v="2404.6799999999998"/>
    <n v="2705.2649999999999"/>
  </r>
  <r>
    <x v="3"/>
    <x v="0"/>
    <x v="5"/>
    <x v="252"/>
    <x v="7"/>
    <x v="2"/>
    <n v="46.18"/>
    <n v="2.2400000000000002"/>
    <x v="8"/>
    <s v="DOMINIO"/>
    <x v="2"/>
    <m/>
    <s v="Assetplan con Est. 434"/>
    <n v="2764"/>
    <n v="2404.6799999999998"/>
    <n v="2705.2649999999999"/>
  </r>
  <r>
    <x v="3"/>
    <x v="0"/>
    <x v="5"/>
    <x v="407"/>
    <x v="7"/>
    <x v="2"/>
    <n v="46.18"/>
    <n v="2.2400000000000002"/>
    <x v="7"/>
    <s v="DOMINIO"/>
    <x v="2"/>
    <m/>
    <s v="Assetplan con Est. 300"/>
    <n v="2741"/>
    <n v="2384.67"/>
    <n v="2682.7537499999999"/>
  </r>
  <r>
    <x v="3"/>
    <x v="0"/>
    <x v="5"/>
    <x v="74"/>
    <x v="8"/>
    <x v="0"/>
    <n v="46.56"/>
    <n v="2.2400000000000002"/>
    <x v="7"/>
    <s v="DOMINIO"/>
    <x v="2"/>
    <m/>
    <s v="Assetplan con Est. 404"/>
    <n v="2752"/>
    <n v="2394.2399999999998"/>
    <n v="2693.5199999999995"/>
  </r>
  <r>
    <x v="3"/>
    <x v="0"/>
    <x v="5"/>
    <x v="408"/>
    <x v="8"/>
    <x v="2"/>
    <n v="46.7"/>
    <n v="2.2400000000000002"/>
    <x v="8"/>
    <s v="DOMINIO"/>
    <x v="2"/>
    <m/>
    <s v="Assetplan con Est. 302"/>
    <n v="2776"/>
    <n v="2415.12"/>
    <n v="2717.0099999999993"/>
  </r>
  <r>
    <x v="3"/>
    <x v="0"/>
    <x v="5"/>
    <x v="324"/>
    <x v="8"/>
    <x v="2"/>
    <n v="46.18"/>
    <n v="2.2400000000000002"/>
    <x v="8"/>
    <s v="DOMINIO"/>
    <x v="2"/>
    <m/>
    <s v="Assetplan con Est. 304"/>
    <n v="2776"/>
    <n v="2415.12"/>
    <n v="2717.0099999999993"/>
  </r>
  <r>
    <x v="3"/>
    <x v="0"/>
    <x v="5"/>
    <x v="362"/>
    <x v="8"/>
    <x v="2"/>
    <n v="46.18"/>
    <n v="2.2400000000000002"/>
    <x v="8"/>
    <s v="DOMINIO"/>
    <x v="2"/>
    <m/>
    <s v="Assetplan con Est. 305"/>
    <n v="2776"/>
    <n v="2415.12"/>
    <n v="2717.0099999999993"/>
  </r>
  <r>
    <x v="3"/>
    <x v="0"/>
    <x v="5"/>
    <x v="326"/>
    <x v="8"/>
    <x v="2"/>
    <n v="46.56"/>
    <n v="2.2400000000000002"/>
    <x v="8"/>
    <s v="DOMINIO"/>
    <x v="2"/>
    <m/>
    <s v="Assetplan con Est. 308"/>
    <n v="2776"/>
    <n v="2415.12"/>
    <n v="2717.0099999999993"/>
  </r>
  <r>
    <x v="3"/>
    <x v="0"/>
    <x v="5"/>
    <x v="327"/>
    <x v="9"/>
    <x v="0"/>
    <n v="46.56"/>
    <n v="2.2400000000000002"/>
    <x v="8"/>
    <s v="DOMINIO"/>
    <x v="2"/>
    <m/>
    <s v="Assetplan con Est. 412"/>
    <n v="2788"/>
    <n v="2425.56"/>
    <n v="2728.7549999999997"/>
  </r>
  <r>
    <x v="3"/>
    <x v="0"/>
    <x v="5"/>
    <x v="329"/>
    <x v="9"/>
    <x v="0"/>
    <n v="46.18"/>
    <n v="2.2400000000000002"/>
    <x v="8"/>
    <s v="DOMINIO"/>
    <x v="2"/>
    <m/>
    <s v="Assetplan con Est. 413"/>
    <n v="2788"/>
    <n v="2425.56"/>
    <n v="2728.7549999999997"/>
  </r>
  <r>
    <x v="3"/>
    <x v="0"/>
    <x v="5"/>
    <x v="15"/>
    <x v="9"/>
    <x v="0"/>
    <n v="46.7"/>
    <n v="2.2400000000000002"/>
    <x v="8"/>
    <s v="DOMINIO"/>
    <x v="2"/>
    <m/>
    <s v="Assetplan con Est. 384"/>
    <n v="2788"/>
    <n v="2425.56"/>
    <n v="2728.7549999999997"/>
  </r>
  <r>
    <x v="3"/>
    <x v="0"/>
    <x v="5"/>
    <x v="381"/>
    <x v="9"/>
    <x v="2"/>
    <n v="46.7"/>
    <n v="2.2400000000000002"/>
    <x v="8"/>
    <s v="DOMINIO"/>
    <x v="2"/>
    <m/>
    <s v="Assetplan con Est. 317"/>
    <n v="2788"/>
    <n v="2425.56"/>
    <n v="2728.7549999999997"/>
  </r>
  <r>
    <x v="3"/>
    <x v="0"/>
    <x v="5"/>
    <x v="363"/>
    <x v="9"/>
    <x v="2"/>
    <n v="46.18"/>
    <n v="2.2400000000000002"/>
    <x v="8"/>
    <s v="DOMINIO"/>
    <x v="2"/>
    <m/>
    <s v="Assetplan con Est. 318"/>
    <n v="2788"/>
    <n v="2425.56"/>
    <n v="2728.7549999999997"/>
  </r>
  <r>
    <x v="3"/>
    <x v="0"/>
    <x v="5"/>
    <x v="409"/>
    <x v="9"/>
    <x v="2"/>
    <n v="46.56"/>
    <n v="2.2400000000000002"/>
    <x v="7"/>
    <s v="DOMINIO"/>
    <x v="2"/>
    <m/>
    <s v="Assetplan con Est. 319"/>
    <n v="2764"/>
    <n v="2404.6799999999998"/>
    <n v="2705.2649999999999"/>
  </r>
  <r>
    <x v="3"/>
    <x v="0"/>
    <x v="5"/>
    <x v="410"/>
    <x v="9"/>
    <x v="2"/>
    <n v="46.18"/>
    <n v="2.2400000000000002"/>
    <x v="7"/>
    <s v="DOMINIO"/>
    <x v="2"/>
    <m/>
    <s v="Assetplan con Est. 326"/>
    <n v="2764"/>
    <n v="2404.6799999999998"/>
    <n v="2705.2649999999999"/>
  </r>
  <r>
    <x v="3"/>
    <x v="0"/>
    <x v="5"/>
    <x v="78"/>
    <x v="5"/>
    <x v="0"/>
    <n v="46.56"/>
    <n v="2.2400000000000002"/>
    <x v="7"/>
    <s v="DOMINIO"/>
    <x v="2"/>
    <m/>
    <s v="Assetplan"/>
    <n v="2776"/>
    <n v="2415.12"/>
    <n v="2717.0099999999993"/>
  </r>
  <r>
    <x v="3"/>
    <x v="0"/>
    <x v="5"/>
    <x v="79"/>
    <x v="10"/>
    <x v="0"/>
    <n v="46.18"/>
    <n v="2.2400000000000002"/>
    <x v="7"/>
    <s v="DOMINIO"/>
    <x v="2"/>
    <m/>
    <s v="Assetplan con Est. 414"/>
    <n v="2788"/>
    <n v="2425.56"/>
    <n v="2728.7549999999997"/>
  </r>
  <r>
    <x v="3"/>
    <x v="0"/>
    <x v="5"/>
    <x v="80"/>
    <x v="10"/>
    <x v="0"/>
    <n v="46.56"/>
    <n v="2.2400000000000002"/>
    <x v="7"/>
    <s v="DOMINIO"/>
    <x v="2"/>
    <m/>
    <s v="Assetplan - Asociado Est 325"/>
    <n v="2788"/>
    <n v="2425.56"/>
    <n v="2728.7549999999997"/>
  </r>
  <r>
    <x v="3"/>
    <x v="0"/>
    <x v="5"/>
    <x v="240"/>
    <x v="10"/>
    <x v="0"/>
    <n v="46.56"/>
    <n v="2.2400000000000002"/>
    <x v="8"/>
    <s v="DOMINIO"/>
    <x v="2"/>
    <m/>
    <s v="Assetplan con Est. 435"/>
    <n v="2811"/>
    <n v="2445.5700000000002"/>
    <n v="2751.2662499999997"/>
  </r>
  <r>
    <x v="3"/>
    <x v="0"/>
    <x v="5"/>
    <x v="411"/>
    <x v="10"/>
    <x v="2"/>
    <n v="46.56"/>
    <n v="2.2400000000000002"/>
    <x v="7"/>
    <s v="DOMINIO"/>
    <x v="2"/>
    <m/>
    <s v="Assetplan con Est. 327"/>
    <n v="2788"/>
    <n v="2425.56"/>
    <n v="2728.7549999999997"/>
  </r>
  <r>
    <x v="3"/>
    <x v="0"/>
    <x v="5"/>
    <x v="412"/>
    <x v="10"/>
    <x v="2"/>
    <n v="46.18"/>
    <n v="2.2400000000000002"/>
    <x v="7"/>
    <s v="DOMINIO"/>
    <x v="2"/>
    <m/>
    <s v="Assetplan con Est. 329"/>
    <n v="2788"/>
    <n v="2425.56"/>
    <n v="2728.7549999999997"/>
  </r>
  <r>
    <x v="3"/>
    <x v="0"/>
    <x v="5"/>
    <x v="387"/>
    <x v="11"/>
    <x v="2"/>
    <n v="46.7"/>
    <n v="2.2400000000000002"/>
    <x v="8"/>
    <s v="DOMINIO"/>
    <x v="0"/>
    <m/>
    <m/>
    <n v="2823"/>
    <n v="2456.0099999999998"/>
    <n v="2763.0112499999996"/>
  </r>
  <r>
    <x v="3"/>
    <x v="0"/>
    <x v="5"/>
    <x v="413"/>
    <x v="11"/>
    <x v="2"/>
    <n v="46.56"/>
    <n v="2.2400000000000002"/>
    <x v="7"/>
    <s v="DOMINIO"/>
    <x v="2"/>
    <m/>
    <s v="Assetplan - Asociado Est 394"/>
    <n v="2799"/>
    <n v="2435.13"/>
    <n v="2739.5212500000002"/>
  </r>
  <r>
    <x v="3"/>
    <x v="0"/>
    <x v="5"/>
    <x v="414"/>
    <x v="11"/>
    <x v="2"/>
    <n v="46.18"/>
    <n v="2.2400000000000002"/>
    <x v="7"/>
    <s v="DOMINIO"/>
    <x v="2"/>
    <m/>
    <s v="Assetplan - Asociado Est 408"/>
    <n v="2799"/>
    <n v="2435.13"/>
    <n v="2739.5212500000002"/>
  </r>
  <r>
    <x v="3"/>
    <x v="0"/>
    <x v="5"/>
    <x v="83"/>
    <x v="12"/>
    <x v="0"/>
    <n v="46.18"/>
    <n v="2.2400000000000002"/>
    <x v="7"/>
    <s v="DOMINIO"/>
    <x v="2"/>
    <m/>
    <s v="Assetplan con Est. 372"/>
    <n v="2805"/>
    <n v="2440.35"/>
    <n v="2745.3937499999997"/>
  </r>
  <r>
    <x v="3"/>
    <x v="0"/>
    <x v="5"/>
    <x v="403"/>
    <x v="12"/>
    <x v="0"/>
    <n v="46.18"/>
    <n v="2.2400000000000002"/>
    <x v="8"/>
    <s v="DOMINIO"/>
    <x v="2"/>
    <m/>
    <s v="Assetplan con Est. 422"/>
    <n v="2829"/>
    <n v="2461.23"/>
    <n v="2768.88375"/>
  </r>
  <r>
    <x v="3"/>
    <x v="0"/>
    <x v="5"/>
    <x v="415"/>
    <x v="12"/>
    <x v="2"/>
    <n v="46.18"/>
    <n v="2.2400000000000002"/>
    <x v="8"/>
    <s v="DOMINIO"/>
    <x v="0"/>
    <m/>
    <m/>
    <n v="2829"/>
    <n v="2461.23"/>
    <n v="2768.88375"/>
  </r>
  <r>
    <x v="3"/>
    <x v="0"/>
    <x v="5"/>
    <x v="416"/>
    <x v="12"/>
    <x v="2"/>
    <n v="46.56"/>
    <n v="2.2400000000000002"/>
    <x v="8"/>
    <s v="DOMINIO"/>
    <x v="2"/>
    <m/>
    <s v="Assetplan con Est. 400"/>
    <n v="2829"/>
    <n v="2461.23"/>
    <n v="2768.88375"/>
  </r>
  <r>
    <x v="3"/>
    <x v="1"/>
    <x v="6"/>
    <x v="148"/>
    <x v="22"/>
    <x v="3"/>
    <n v="9.4700000000000006"/>
    <n v="0"/>
    <x v="4"/>
    <s v="DOMINIO"/>
    <x v="0"/>
    <s v="E - 303"/>
    <m/>
    <n v="207"/>
    <n v="207"/>
    <n v="232.875"/>
  </r>
  <r>
    <x v="3"/>
    <x v="2"/>
    <x v="7"/>
    <x v="397"/>
    <x v="20"/>
    <x v="1"/>
    <n v="12.5"/>
    <n v="0"/>
    <x v="4"/>
    <s v="DOMINIO"/>
    <x v="0"/>
    <m/>
    <m/>
    <n v="300"/>
    <n v="300"/>
    <n v="337.5"/>
  </r>
  <r>
    <x v="3"/>
    <x v="2"/>
    <x v="7"/>
    <x v="169"/>
    <x v="20"/>
    <x v="1"/>
    <n v="12.5"/>
    <n v="0"/>
    <x v="4"/>
    <s v="DOMINIO"/>
    <x v="1"/>
    <m/>
    <m/>
    <n v="300"/>
    <n v="300"/>
    <n v="337.5"/>
  </r>
  <r>
    <x v="3"/>
    <x v="2"/>
    <x v="7"/>
    <x v="172"/>
    <x v="20"/>
    <x v="1"/>
    <n v="12.5"/>
    <n v="0"/>
    <x v="4"/>
    <s v="DOMINIO"/>
    <x v="1"/>
    <m/>
    <m/>
    <n v="300"/>
    <n v="300"/>
    <n v="337.5"/>
  </r>
  <r>
    <x v="3"/>
    <x v="2"/>
    <x v="7"/>
    <x v="174"/>
    <x v="20"/>
    <x v="1"/>
    <n v="12.5"/>
    <n v="0"/>
    <x v="4"/>
    <s v="DOMINIO"/>
    <x v="1"/>
    <m/>
    <m/>
    <n v="300"/>
    <n v="300"/>
    <n v="337.5"/>
  </r>
  <r>
    <x v="3"/>
    <x v="2"/>
    <x v="7"/>
    <x v="157"/>
    <x v="20"/>
    <x v="1"/>
    <n v="12.5"/>
    <n v="0"/>
    <x v="4"/>
    <s v="DOMINIO"/>
    <x v="2"/>
    <m/>
    <s v="Assetplan - Asociado Dpto 916A"/>
    <n v="350"/>
    <n v="350"/>
    <n v="393.75"/>
  </r>
  <r>
    <x v="3"/>
    <x v="2"/>
    <x v="7"/>
    <x v="179"/>
    <x v="20"/>
    <x v="1"/>
    <n v="12.5"/>
    <n v="0"/>
    <x v="4"/>
    <s v="DOMINIO"/>
    <x v="0"/>
    <m/>
    <m/>
    <n v="300"/>
    <n v="300"/>
    <n v="337.5"/>
  </r>
  <r>
    <x v="3"/>
    <x v="2"/>
    <x v="7"/>
    <x v="417"/>
    <x v="20"/>
    <x v="1"/>
    <n v="12.5"/>
    <n v="0"/>
    <x v="4"/>
    <s v="DOMINIO"/>
    <x v="0"/>
    <m/>
    <m/>
    <n v="300"/>
    <n v="300"/>
    <n v="337.5"/>
  </r>
  <r>
    <x v="3"/>
    <x v="2"/>
    <x v="7"/>
    <x v="186"/>
    <x v="20"/>
    <x v="1"/>
    <n v="12.5"/>
    <n v="0"/>
    <x v="4"/>
    <s v="DOMINIO"/>
    <x v="1"/>
    <m/>
    <m/>
    <n v="300"/>
    <n v="300"/>
    <n v="337.5"/>
  </r>
  <r>
    <x v="3"/>
    <x v="2"/>
    <x v="7"/>
    <x v="190"/>
    <x v="20"/>
    <x v="1"/>
    <n v="12.5"/>
    <n v="0"/>
    <x v="4"/>
    <s v="DOMINIO"/>
    <x v="1"/>
    <m/>
    <m/>
    <n v="300"/>
    <n v="300"/>
    <n v="337.5"/>
  </r>
  <r>
    <x v="3"/>
    <x v="2"/>
    <x v="7"/>
    <x v="191"/>
    <x v="20"/>
    <x v="1"/>
    <n v="12.5"/>
    <n v="0"/>
    <x v="4"/>
    <s v="DOMINIO"/>
    <x v="1"/>
    <m/>
    <m/>
    <n v="300"/>
    <n v="300"/>
    <n v="337.5"/>
  </r>
  <r>
    <x v="3"/>
    <x v="2"/>
    <x v="7"/>
    <x v="193"/>
    <x v="20"/>
    <x v="1"/>
    <n v="12.5"/>
    <n v="0"/>
    <x v="4"/>
    <s v="DOMINIO"/>
    <x v="2"/>
    <m/>
    <s v="Assetplan - Asociado Dpto 315 A"/>
    <n v="300"/>
    <n v="300"/>
    <n v="337.5"/>
  </r>
  <r>
    <x v="3"/>
    <x v="2"/>
    <x v="7"/>
    <x v="194"/>
    <x v="20"/>
    <x v="1"/>
    <n v="12.5"/>
    <n v="0"/>
    <x v="4"/>
    <s v="DOMINIO"/>
    <x v="1"/>
    <m/>
    <m/>
    <n v="300"/>
    <n v="300"/>
    <n v="337.5"/>
  </r>
  <r>
    <x v="3"/>
    <x v="2"/>
    <x v="7"/>
    <x v="7"/>
    <x v="20"/>
    <x v="1"/>
    <n v="12.5"/>
    <n v="0"/>
    <x v="4"/>
    <s v="DOMINIO"/>
    <x v="1"/>
    <m/>
    <m/>
    <n v="300"/>
    <n v="300"/>
    <n v="337.5"/>
  </r>
  <r>
    <x v="3"/>
    <x v="2"/>
    <x v="7"/>
    <x v="195"/>
    <x v="20"/>
    <x v="1"/>
    <n v="12.5"/>
    <n v="0"/>
    <x v="4"/>
    <s v="DOMINIO"/>
    <x v="1"/>
    <m/>
    <m/>
    <n v="300"/>
    <n v="300"/>
    <n v="337.5"/>
  </r>
  <r>
    <x v="3"/>
    <x v="2"/>
    <x v="7"/>
    <x v="199"/>
    <x v="20"/>
    <x v="1"/>
    <n v="12.5"/>
    <n v="0"/>
    <x v="4"/>
    <s v="DOMINIO"/>
    <x v="0"/>
    <s v="E - 119"/>
    <m/>
    <n v="250"/>
    <n v="250"/>
    <n v="281.25"/>
  </r>
  <r>
    <x v="3"/>
    <x v="2"/>
    <x v="7"/>
    <x v="200"/>
    <x v="20"/>
    <x v="1"/>
    <n v="12.5"/>
    <n v="0"/>
    <x v="4"/>
    <s v="DOMINIO"/>
    <x v="2"/>
    <s v="E - 118"/>
    <s v="Assetplan - Asociado Dpto 520 A"/>
    <n v="250"/>
    <n v="250"/>
    <n v="281.25"/>
  </r>
  <r>
    <x v="3"/>
    <x v="2"/>
    <x v="7"/>
    <x v="201"/>
    <x v="20"/>
    <x v="1"/>
    <n v="12.5"/>
    <n v="0"/>
    <x v="4"/>
    <s v="DOMINIO"/>
    <x v="0"/>
    <s v="E - 117"/>
    <m/>
    <n v="250"/>
    <n v="250"/>
    <n v="281.25"/>
  </r>
  <r>
    <x v="3"/>
    <x v="2"/>
    <x v="7"/>
    <x v="202"/>
    <x v="20"/>
    <x v="1"/>
    <n v="12.5"/>
    <n v="0"/>
    <x v="4"/>
    <s v="DOMINIO"/>
    <x v="0"/>
    <s v="E - 116"/>
    <m/>
    <n v="250"/>
    <n v="250"/>
    <n v="281.25"/>
  </r>
  <r>
    <x v="3"/>
    <x v="2"/>
    <x v="7"/>
    <x v="207"/>
    <x v="20"/>
    <x v="1"/>
    <n v="12.5"/>
    <n v="0"/>
    <x v="4"/>
    <s v="DOMINIO"/>
    <x v="0"/>
    <s v="E - 111"/>
    <m/>
    <n v="250"/>
    <n v="250"/>
    <n v="281.25"/>
  </r>
  <r>
    <x v="3"/>
    <x v="2"/>
    <x v="7"/>
    <x v="208"/>
    <x v="20"/>
    <x v="1"/>
    <n v="12.5"/>
    <n v="0"/>
    <x v="4"/>
    <s v="DOMINIO"/>
    <x v="0"/>
    <s v="E - 110"/>
    <m/>
    <n v="250"/>
    <n v="250"/>
    <n v="281.25"/>
  </r>
  <r>
    <x v="3"/>
    <x v="2"/>
    <x v="7"/>
    <x v="209"/>
    <x v="20"/>
    <x v="1"/>
    <n v="12.5"/>
    <n v="0"/>
    <x v="4"/>
    <s v="DOMINIO"/>
    <x v="0"/>
    <s v="E - 109"/>
    <m/>
    <n v="250"/>
    <n v="250"/>
    <n v="281.25"/>
  </r>
  <r>
    <x v="3"/>
    <x v="2"/>
    <x v="7"/>
    <x v="210"/>
    <x v="20"/>
    <x v="1"/>
    <n v="12.5"/>
    <n v="0"/>
    <x v="4"/>
    <s v="DOMINIO"/>
    <x v="0"/>
    <s v="E - 108"/>
    <m/>
    <n v="250"/>
    <n v="250"/>
    <n v="281.25"/>
  </r>
  <r>
    <x v="3"/>
    <x v="2"/>
    <x v="7"/>
    <x v="214"/>
    <x v="20"/>
    <x v="1"/>
    <n v="12.5"/>
    <n v="0"/>
    <x v="4"/>
    <s v="DOMINIO"/>
    <x v="1"/>
    <m/>
    <m/>
    <n v="300"/>
    <n v="300"/>
    <n v="337.5"/>
  </r>
  <r>
    <x v="3"/>
    <x v="2"/>
    <x v="7"/>
    <x v="418"/>
    <x v="21"/>
    <x v="1"/>
    <n v="12.5"/>
    <n v="0"/>
    <x v="4"/>
    <s v="DOMINIO"/>
    <x v="1"/>
    <m/>
    <m/>
    <n v="300"/>
    <n v="300"/>
    <n v="337.5"/>
  </r>
  <r>
    <x v="3"/>
    <x v="2"/>
    <x v="7"/>
    <x v="419"/>
    <x v="21"/>
    <x v="1"/>
    <n v="12.5"/>
    <n v="0"/>
    <x v="4"/>
    <s v="DOMINIO"/>
    <x v="0"/>
    <m/>
    <m/>
    <n v="350"/>
    <n v="350"/>
    <n v="393.75"/>
  </r>
  <r>
    <x v="3"/>
    <x v="2"/>
    <x v="7"/>
    <x v="420"/>
    <x v="21"/>
    <x v="1"/>
    <n v="12.5"/>
    <n v="0"/>
    <x v="4"/>
    <s v="DOMINIO"/>
    <x v="0"/>
    <m/>
    <m/>
    <n v="350"/>
    <n v="350"/>
    <n v="393.75"/>
  </r>
  <r>
    <x v="3"/>
    <x v="2"/>
    <x v="7"/>
    <x v="421"/>
    <x v="21"/>
    <x v="1"/>
    <n v="12.5"/>
    <n v="0"/>
    <x v="4"/>
    <s v="DOMINIO"/>
    <x v="0"/>
    <m/>
    <m/>
    <n v="350"/>
    <n v="350"/>
    <n v="393.75"/>
  </r>
  <r>
    <x v="3"/>
    <x v="2"/>
    <x v="7"/>
    <x v="422"/>
    <x v="21"/>
    <x v="1"/>
    <n v="12.5"/>
    <n v="0"/>
    <x v="4"/>
    <s v="DOMINIO"/>
    <x v="0"/>
    <m/>
    <m/>
    <n v="250"/>
    <n v="250"/>
    <n v="281.25"/>
  </r>
  <r>
    <x v="3"/>
    <x v="2"/>
    <x v="7"/>
    <x v="423"/>
    <x v="21"/>
    <x v="1"/>
    <n v="12.5"/>
    <n v="0"/>
    <x v="4"/>
    <s v="DOMINIO"/>
    <x v="0"/>
    <m/>
    <m/>
    <n v="350"/>
    <n v="350"/>
    <n v="393.75"/>
  </r>
  <r>
    <x v="3"/>
    <x v="2"/>
    <x v="7"/>
    <x v="424"/>
    <x v="21"/>
    <x v="1"/>
    <n v="12.5"/>
    <n v="0"/>
    <x v="4"/>
    <s v="DOMINIO"/>
    <x v="0"/>
    <m/>
    <m/>
    <n v="300"/>
    <n v="300"/>
    <n v="337.5"/>
  </r>
  <r>
    <x v="3"/>
    <x v="2"/>
    <x v="7"/>
    <x v="425"/>
    <x v="21"/>
    <x v="1"/>
    <n v="12.5"/>
    <n v="0"/>
    <x v="4"/>
    <s v="DOMINIO"/>
    <x v="0"/>
    <m/>
    <m/>
    <n v="350"/>
    <n v="350"/>
    <n v="393.75"/>
  </r>
  <r>
    <x v="3"/>
    <x v="2"/>
    <x v="7"/>
    <x v="426"/>
    <x v="21"/>
    <x v="1"/>
    <n v="12.5"/>
    <n v="0"/>
    <x v="4"/>
    <s v="DOMINIO"/>
    <x v="0"/>
    <m/>
    <m/>
    <n v="350"/>
    <n v="350"/>
    <n v="393.75"/>
  </r>
  <r>
    <x v="3"/>
    <x v="2"/>
    <x v="7"/>
    <x v="427"/>
    <x v="21"/>
    <x v="1"/>
    <n v="12.5"/>
    <n v="0"/>
    <x v="4"/>
    <s v="DOMINIO"/>
    <x v="0"/>
    <m/>
    <m/>
    <n v="300"/>
    <n v="300"/>
    <n v="337.5"/>
  </r>
  <r>
    <x v="3"/>
    <x v="2"/>
    <x v="7"/>
    <x v="428"/>
    <x v="21"/>
    <x v="1"/>
    <n v="12.5"/>
    <n v="0"/>
    <x v="4"/>
    <s v="DOMINIO"/>
    <x v="2"/>
    <m/>
    <s v="Assetplan - Asociado Dpto 519 A"/>
    <n v="250"/>
    <n v="250"/>
    <n v="281.25"/>
  </r>
  <r>
    <x v="3"/>
    <x v="2"/>
    <x v="7"/>
    <x v="429"/>
    <x v="21"/>
    <x v="1"/>
    <n v="12.5"/>
    <n v="0"/>
    <x v="4"/>
    <s v="DOMINIO"/>
    <x v="0"/>
    <m/>
    <m/>
    <n v="250"/>
    <n v="250"/>
    <n v="281.25"/>
  </r>
  <r>
    <x v="3"/>
    <x v="2"/>
    <x v="7"/>
    <x v="430"/>
    <x v="21"/>
    <x v="1"/>
    <n v="12.5"/>
    <n v="0"/>
    <x v="4"/>
    <s v="DOMINIO"/>
    <x v="0"/>
    <m/>
    <m/>
    <n v="350"/>
    <n v="350"/>
    <n v="393.75"/>
  </r>
  <r>
    <x v="3"/>
    <x v="2"/>
    <x v="7"/>
    <x v="431"/>
    <x v="21"/>
    <x v="1"/>
    <n v="12.5"/>
    <n v="0"/>
    <x v="4"/>
    <s v="DOMINIO"/>
    <x v="0"/>
    <m/>
    <m/>
    <n v="350"/>
    <n v="350"/>
    <n v="393.75"/>
  </r>
  <r>
    <x v="3"/>
    <x v="2"/>
    <x v="7"/>
    <x v="432"/>
    <x v="21"/>
    <x v="1"/>
    <n v="12.5"/>
    <n v="0"/>
    <x v="4"/>
    <s v="DOMINIO"/>
    <x v="0"/>
    <m/>
    <m/>
    <n v="350"/>
    <n v="350"/>
    <n v="393.75"/>
  </r>
  <r>
    <x v="3"/>
    <x v="2"/>
    <x v="7"/>
    <x v="433"/>
    <x v="21"/>
    <x v="1"/>
    <n v="12.5"/>
    <n v="0"/>
    <x v="4"/>
    <s v="DOMINIO"/>
    <x v="0"/>
    <m/>
    <m/>
    <n v="250"/>
    <n v="250"/>
    <n v="281.25"/>
  </r>
  <r>
    <x v="3"/>
    <x v="2"/>
    <x v="7"/>
    <x v="434"/>
    <x v="21"/>
    <x v="1"/>
    <n v="12.5"/>
    <n v="0"/>
    <x v="4"/>
    <s v="DOMINIO"/>
    <x v="0"/>
    <m/>
    <m/>
    <n v="250"/>
    <n v="250"/>
    <n v="281.25"/>
  </r>
  <r>
    <x v="3"/>
    <x v="2"/>
    <x v="7"/>
    <x v="435"/>
    <x v="21"/>
    <x v="1"/>
    <n v="12.5"/>
    <n v="0"/>
    <x v="4"/>
    <s v="DOMINIO"/>
    <x v="0"/>
    <m/>
    <m/>
    <n v="350"/>
    <n v="350"/>
    <n v="393.75"/>
  </r>
  <r>
    <x v="3"/>
    <x v="2"/>
    <x v="7"/>
    <x v="436"/>
    <x v="21"/>
    <x v="1"/>
    <n v="12.5"/>
    <n v="0"/>
    <x v="4"/>
    <s v="DOMINIO"/>
    <x v="0"/>
    <m/>
    <m/>
    <n v="350"/>
    <n v="350"/>
    <n v="393.75"/>
  </r>
  <r>
    <x v="3"/>
    <x v="2"/>
    <x v="7"/>
    <x v="437"/>
    <x v="21"/>
    <x v="1"/>
    <n v="12.5"/>
    <n v="0"/>
    <x v="4"/>
    <s v="DOMINIO"/>
    <x v="1"/>
    <m/>
    <m/>
    <n v="300"/>
    <n v="300"/>
    <n v="337.5"/>
  </r>
  <r>
    <x v="3"/>
    <x v="2"/>
    <x v="7"/>
    <x v="438"/>
    <x v="21"/>
    <x v="1"/>
    <n v="12.5"/>
    <n v="0"/>
    <x v="4"/>
    <s v="DOMINIO"/>
    <x v="0"/>
    <m/>
    <m/>
    <n v="350"/>
    <n v="350"/>
    <n v="393.75"/>
  </r>
  <r>
    <x v="3"/>
    <x v="2"/>
    <x v="7"/>
    <x v="236"/>
    <x v="21"/>
    <x v="1"/>
    <n v="12.5"/>
    <n v="0"/>
    <x v="4"/>
    <s v="DOMINIO"/>
    <x v="1"/>
    <m/>
    <m/>
    <n v="300"/>
    <n v="300"/>
    <n v="337.5"/>
  </r>
  <r>
    <x v="3"/>
    <x v="2"/>
    <x v="7"/>
    <x v="439"/>
    <x v="21"/>
    <x v="1"/>
    <n v="12.5"/>
    <n v="0"/>
    <x v="4"/>
    <s v="DOMINIO"/>
    <x v="0"/>
    <m/>
    <m/>
    <n v="350"/>
    <n v="350"/>
    <n v="393.75"/>
  </r>
  <r>
    <x v="3"/>
    <x v="2"/>
    <x v="7"/>
    <x v="292"/>
    <x v="21"/>
    <x v="1"/>
    <n v="12.5"/>
    <n v="0"/>
    <x v="4"/>
    <s v="DOMINIO"/>
    <x v="0"/>
    <s v="E - 221"/>
    <m/>
    <n v="250"/>
    <n v="250"/>
    <n v="281.25"/>
  </r>
  <r>
    <x v="3"/>
    <x v="2"/>
    <x v="7"/>
    <x v="370"/>
    <x v="21"/>
    <x v="1"/>
    <n v="12.5"/>
    <n v="0"/>
    <x v="4"/>
    <s v="DOMINIO"/>
    <x v="0"/>
    <s v="E - 220"/>
    <m/>
    <n v="250"/>
    <n v="250"/>
    <n v="281.25"/>
  </r>
  <r>
    <x v="3"/>
    <x v="2"/>
    <x v="7"/>
    <x v="293"/>
    <x v="21"/>
    <x v="1"/>
    <n v="12.5"/>
    <n v="0"/>
    <x v="4"/>
    <s v="DOMINIO"/>
    <x v="0"/>
    <s v="E - 219"/>
    <m/>
    <n v="250"/>
    <n v="250"/>
    <n v="281.25"/>
  </r>
  <r>
    <x v="3"/>
    <x v="2"/>
    <x v="7"/>
    <x v="294"/>
    <x v="21"/>
    <x v="1"/>
    <n v="12.5"/>
    <n v="0"/>
    <x v="4"/>
    <s v="DOMINIO"/>
    <x v="0"/>
    <s v="E - 218"/>
    <m/>
    <n v="250"/>
    <n v="250"/>
    <n v="281.25"/>
  </r>
  <r>
    <x v="3"/>
    <x v="2"/>
    <x v="7"/>
    <x v="371"/>
    <x v="21"/>
    <x v="1"/>
    <n v="12.5"/>
    <n v="0"/>
    <x v="4"/>
    <s v="DOMINIO"/>
    <x v="0"/>
    <m/>
    <m/>
    <n v="350"/>
    <n v="350"/>
    <n v="393.75"/>
  </r>
  <r>
    <x v="3"/>
    <x v="2"/>
    <x v="7"/>
    <x v="352"/>
    <x v="21"/>
    <x v="1"/>
    <n v="12.5"/>
    <n v="0"/>
    <x v="4"/>
    <s v="DOMINIO"/>
    <x v="0"/>
    <m/>
    <m/>
    <n v="250"/>
    <n v="250"/>
    <n v="281.25"/>
  </r>
  <r>
    <x v="3"/>
    <x v="2"/>
    <x v="7"/>
    <x v="296"/>
    <x v="21"/>
    <x v="1"/>
    <n v="12.5"/>
    <n v="0"/>
    <x v="4"/>
    <s v="DOMINIO"/>
    <x v="0"/>
    <s v="E - 213"/>
    <m/>
    <n v="250"/>
    <n v="250"/>
    <n v="281.25"/>
  </r>
  <r>
    <x v="3"/>
    <x v="2"/>
    <x v="7"/>
    <x v="353"/>
    <x v="21"/>
    <x v="1"/>
    <n v="12.5"/>
    <n v="0"/>
    <x v="4"/>
    <s v="DOMINIO"/>
    <x v="0"/>
    <s v="E - 212"/>
    <m/>
    <n v="250"/>
    <n v="250"/>
    <n v="281.25"/>
  </r>
  <r>
    <x v="3"/>
    <x v="2"/>
    <x v="7"/>
    <x v="297"/>
    <x v="21"/>
    <x v="1"/>
    <n v="12.5"/>
    <n v="0"/>
    <x v="4"/>
    <s v="DOMINIO"/>
    <x v="0"/>
    <s v="E - 211"/>
    <m/>
    <n v="250"/>
    <n v="250"/>
    <n v="281.25"/>
  </r>
  <r>
    <x v="3"/>
    <x v="2"/>
    <x v="7"/>
    <x v="243"/>
    <x v="21"/>
    <x v="1"/>
    <n v="12.5"/>
    <n v="0"/>
    <x v="4"/>
    <s v="DOMINIO"/>
    <x v="0"/>
    <s v="E - 210"/>
    <m/>
    <n v="250"/>
    <n v="250"/>
    <n v="281.25"/>
  </r>
  <r>
    <x v="3"/>
    <x v="2"/>
    <x v="7"/>
    <x v="245"/>
    <x v="21"/>
    <x v="1"/>
    <n v="12.5"/>
    <n v="0"/>
    <x v="4"/>
    <s v="DOMINIO"/>
    <x v="0"/>
    <m/>
    <m/>
    <n v="350"/>
    <n v="350"/>
    <n v="393.75"/>
  </r>
  <r>
    <x v="3"/>
    <x v="2"/>
    <x v="7"/>
    <x v="440"/>
    <x v="21"/>
    <x v="1"/>
    <n v="12.5"/>
    <n v="0"/>
    <x v="4"/>
    <s v="DOMINIO"/>
    <x v="1"/>
    <m/>
    <m/>
    <n v="300"/>
    <n v="300"/>
    <n v="337.5"/>
  </r>
  <r>
    <x v="3"/>
    <x v="2"/>
    <x v="7"/>
    <x v="441"/>
    <x v="22"/>
    <x v="1"/>
    <n v="12.5"/>
    <n v="0"/>
    <x v="4"/>
    <s v="DOMINIO"/>
    <x v="0"/>
    <m/>
    <m/>
    <n v="250"/>
    <n v="250"/>
    <n v="281.25"/>
  </r>
  <r>
    <x v="3"/>
    <x v="2"/>
    <x v="7"/>
    <x v="442"/>
    <x v="22"/>
    <x v="1"/>
    <n v="12.5"/>
    <n v="0"/>
    <x v="4"/>
    <s v="DOMINIO"/>
    <x v="0"/>
    <m/>
    <m/>
    <n v="250"/>
    <n v="250"/>
    <n v="281.25"/>
  </r>
  <r>
    <x v="3"/>
    <x v="2"/>
    <x v="7"/>
    <x v="443"/>
    <x v="22"/>
    <x v="1"/>
    <n v="12.5"/>
    <n v="0"/>
    <x v="4"/>
    <s v="DOMINIO"/>
    <x v="0"/>
    <m/>
    <m/>
    <n v="250"/>
    <n v="250"/>
    <n v="281.25"/>
  </r>
  <r>
    <x v="3"/>
    <x v="2"/>
    <x v="7"/>
    <x v="444"/>
    <x v="22"/>
    <x v="1"/>
    <n v="12.5"/>
    <n v="0"/>
    <x v="4"/>
    <s v="DOMINIO"/>
    <x v="0"/>
    <m/>
    <m/>
    <n v="250"/>
    <n v="250"/>
    <n v="281.25"/>
  </r>
  <r>
    <x v="3"/>
    <x v="2"/>
    <x v="7"/>
    <x v="445"/>
    <x v="22"/>
    <x v="1"/>
    <n v="12.5"/>
    <n v="0"/>
    <x v="4"/>
    <s v="DOMINIO"/>
    <x v="0"/>
    <m/>
    <m/>
    <n v="350"/>
    <n v="350"/>
    <n v="393.75"/>
  </r>
  <r>
    <x v="3"/>
    <x v="2"/>
    <x v="7"/>
    <x v="446"/>
    <x v="22"/>
    <x v="1"/>
    <n v="12.5"/>
    <n v="0"/>
    <x v="4"/>
    <s v="DOMINIO"/>
    <x v="0"/>
    <m/>
    <m/>
    <n v="350"/>
    <n v="350"/>
    <n v="393.75"/>
  </r>
  <r>
    <x v="3"/>
    <x v="2"/>
    <x v="7"/>
    <x v="447"/>
    <x v="22"/>
    <x v="1"/>
    <n v="12.5"/>
    <n v="0"/>
    <x v="4"/>
    <s v="DOMINIO"/>
    <x v="0"/>
    <m/>
    <m/>
    <n v="350"/>
    <n v="350"/>
    <n v="393.75"/>
  </r>
  <r>
    <x v="3"/>
    <x v="2"/>
    <x v="7"/>
    <x v="448"/>
    <x v="22"/>
    <x v="1"/>
    <n v="12.5"/>
    <n v="0"/>
    <x v="4"/>
    <s v="DOMINIO"/>
    <x v="0"/>
    <m/>
    <m/>
    <n v="350"/>
    <n v="350"/>
    <n v="393.75"/>
  </r>
  <r>
    <x v="3"/>
    <x v="2"/>
    <x v="7"/>
    <x v="449"/>
    <x v="22"/>
    <x v="1"/>
    <n v="12.5"/>
    <n v="0"/>
    <x v="4"/>
    <s v="DOMINIO"/>
    <x v="2"/>
    <m/>
    <s v="Assetplan - Asociado Dpto 214A"/>
    <n v="350"/>
    <n v="350"/>
    <n v="393.75"/>
  </r>
  <r>
    <x v="3"/>
    <x v="2"/>
    <x v="7"/>
    <x v="450"/>
    <x v="22"/>
    <x v="1"/>
    <n v="12.5"/>
    <n v="0"/>
    <x v="4"/>
    <s v="DOMINIO"/>
    <x v="0"/>
    <m/>
    <m/>
    <n v="350"/>
    <n v="350"/>
    <n v="393.75"/>
  </r>
  <r>
    <x v="3"/>
    <x v="2"/>
    <x v="7"/>
    <x v="451"/>
    <x v="22"/>
    <x v="1"/>
    <n v="12.5"/>
    <n v="0"/>
    <x v="4"/>
    <s v="DOMINIO"/>
    <x v="0"/>
    <m/>
    <m/>
    <n v="350"/>
    <n v="350"/>
    <n v="393.75"/>
  </r>
  <r>
    <x v="3"/>
    <x v="2"/>
    <x v="7"/>
    <x v="452"/>
    <x v="22"/>
    <x v="1"/>
    <n v="12.5"/>
    <n v="0"/>
    <x v="4"/>
    <s v="DOMINIO"/>
    <x v="0"/>
    <m/>
    <m/>
    <n v="250"/>
    <n v="250"/>
    <n v="281.25"/>
  </r>
  <r>
    <x v="3"/>
    <x v="2"/>
    <x v="7"/>
    <x v="453"/>
    <x v="22"/>
    <x v="1"/>
    <n v="12.5"/>
    <n v="0"/>
    <x v="4"/>
    <s v="DOMINIO"/>
    <x v="0"/>
    <m/>
    <m/>
    <n v="250"/>
    <n v="250"/>
    <n v="281.25"/>
  </r>
  <r>
    <x v="3"/>
    <x v="2"/>
    <x v="7"/>
    <x v="454"/>
    <x v="22"/>
    <x v="1"/>
    <n v="12.5"/>
    <n v="0"/>
    <x v="4"/>
    <s v="DOMINIO"/>
    <x v="0"/>
    <m/>
    <m/>
    <n v="350"/>
    <n v="350"/>
    <n v="393.75"/>
  </r>
  <r>
    <x v="3"/>
    <x v="2"/>
    <x v="7"/>
    <x v="455"/>
    <x v="22"/>
    <x v="1"/>
    <n v="12.5"/>
    <n v="0"/>
    <x v="4"/>
    <s v="DOMINIO"/>
    <x v="0"/>
    <m/>
    <m/>
    <n v="350"/>
    <n v="350"/>
    <n v="393.75"/>
  </r>
  <r>
    <x v="3"/>
    <x v="2"/>
    <x v="7"/>
    <x v="456"/>
    <x v="22"/>
    <x v="1"/>
    <n v="12.5"/>
    <n v="0"/>
    <x v="4"/>
    <s v="DOMINIO"/>
    <x v="0"/>
    <m/>
    <m/>
    <n v="250"/>
    <n v="250"/>
    <n v="281.25"/>
  </r>
  <r>
    <x v="3"/>
    <x v="2"/>
    <x v="7"/>
    <x v="457"/>
    <x v="22"/>
    <x v="1"/>
    <n v="12.5"/>
    <n v="0"/>
    <x v="4"/>
    <s v="DOMINIO"/>
    <x v="0"/>
    <m/>
    <m/>
    <n v="250"/>
    <n v="250"/>
    <n v="281.25"/>
  </r>
  <r>
    <x v="3"/>
    <x v="2"/>
    <x v="7"/>
    <x v="458"/>
    <x v="22"/>
    <x v="1"/>
    <n v="12.5"/>
    <n v="0"/>
    <x v="4"/>
    <s v="DOMINIO"/>
    <x v="0"/>
    <m/>
    <m/>
    <n v="350"/>
    <n v="350"/>
    <n v="393.75"/>
  </r>
  <r>
    <x v="3"/>
    <x v="2"/>
    <x v="7"/>
    <x v="459"/>
    <x v="22"/>
    <x v="1"/>
    <n v="12.5"/>
    <n v="0"/>
    <x v="4"/>
    <s v="DOMINIO"/>
    <x v="0"/>
    <m/>
    <m/>
    <n v="300"/>
    <n v="300"/>
    <n v="337.5"/>
  </r>
  <r>
    <x v="3"/>
    <x v="2"/>
    <x v="7"/>
    <x v="460"/>
    <x v="22"/>
    <x v="1"/>
    <n v="12.5"/>
    <n v="0"/>
    <x v="4"/>
    <s v="DOMINIO"/>
    <x v="0"/>
    <m/>
    <m/>
    <n v="250"/>
    <n v="250"/>
    <n v="281.25"/>
  </r>
  <r>
    <x v="3"/>
    <x v="2"/>
    <x v="7"/>
    <x v="461"/>
    <x v="22"/>
    <x v="1"/>
    <n v="12.5"/>
    <n v="0"/>
    <x v="4"/>
    <s v="DOMINIO"/>
    <x v="0"/>
    <m/>
    <m/>
    <n v="250"/>
    <n v="250"/>
    <n v="281.25"/>
  </r>
  <r>
    <x v="3"/>
    <x v="2"/>
    <x v="7"/>
    <x v="462"/>
    <x v="22"/>
    <x v="1"/>
    <n v="12.5"/>
    <n v="0"/>
    <x v="4"/>
    <s v="DOMINIO"/>
    <x v="0"/>
    <m/>
    <m/>
    <n v="250"/>
    <n v="250"/>
    <n v="281.25"/>
  </r>
  <r>
    <x v="3"/>
    <x v="2"/>
    <x v="7"/>
    <x v="463"/>
    <x v="22"/>
    <x v="1"/>
    <n v="12.5"/>
    <n v="0"/>
    <x v="4"/>
    <s v="DOMINIO"/>
    <x v="2"/>
    <m/>
    <s v="Assetplan - Asociado Dpto 319B"/>
    <n v="250"/>
    <n v="250"/>
    <n v="281.25"/>
  </r>
  <r>
    <x v="3"/>
    <x v="2"/>
    <x v="7"/>
    <x v="464"/>
    <x v="22"/>
    <x v="1"/>
    <n v="12.5"/>
    <n v="0"/>
    <x v="4"/>
    <s v="DOMINIO"/>
    <x v="0"/>
    <m/>
    <m/>
    <n v="350"/>
    <n v="350"/>
    <n v="393.75"/>
  </r>
  <r>
    <x v="3"/>
    <x v="2"/>
    <x v="7"/>
    <x v="465"/>
    <x v="22"/>
    <x v="1"/>
    <n v="12.5"/>
    <n v="0"/>
    <x v="4"/>
    <s v="DOMINIO"/>
    <x v="0"/>
    <m/>
    <m/>
    <n v="350"/>
    <n v="350"/>
    <n v="393.75"/>
  </r>
  <r>
    <x v="3"/>
    <x v="2"/>
    <x v="7"/>
    <x v="466"/>
    <x v="22"/>
    <x v="1"/>
    <n v="12.5"/>
    <n v="0"/>
    <x v="4"/>
    <s v="DOMINIO"/>
    <x v="0"/>
    <m/>
    <m/>
    <n v="250"/>
    <n v="250"/>
    <n v="281.25"/>
  </r>
  <r>
    <x v="3"/>
    <x v="2"/>
    <x v="7"/>
    <x v="467"/>
    <x v="22"/>
    <x v="1"/>
    <n v="12.5"/>
    <n v="0"/>
    <x v="4"/>
    <s v="DOMINIO"/>
    <x v="0"/>
    <m/>
    <m/>
    <n v="250"/>
    <n v="250"/>
    <n v="281.25"/>
  </r>
  <r>
    <x v="3"/>
    <x v="2"/>
    <x v="7"/>
    <x v="468"/>
    <x v="22"/>
    <x v="1"/>
    <n v="12.5"/>
    <n v="0"/>
    <x v="4"/>
    <s v="DOMINIO"/>
    <x v="0"/>
    <m/>
    <m/>
    <n v="350"/>
    <n v="350"/>
    <n v="393.75"/>
  </r>
  <r>
    <x v="3"/>
    <x v="2"/>
    <x v="7"/>
    <x v="469"/>
    <x v="22"/>
    <x v="1"/>
    <n v="12.5"/>
    <n v="0"/>
    <x v="4"/>
    <s v="DOMINIO"/>
    <x v="0"/>
    <m/>
    <m/>
    <n v="250"/>
    <n v="250"/>
    <n v="281.25"/>
  </r>
  <r>
    <x v="3"/>
    <x v="2"/>
    <x v="7"/>
    <x v="470"/>
    <x v="22"/>
    <x v="1"/>
    <n v="12.5"/>
    <n v="0"/>
    <x v="4"/>
    <s v="DOMINIO"/>
    <x v="0"/>
    <m/>
    <m/>
    <n v="350"/>
    <n v="350"/>
    <n v="393.75"/>
  </r>
  <r>
    <x v="3"/>
    <x v="2"/>
    <x v="7"/>
    <x v="471"/>
    <x v="22"/>
    <x v="1"/>
    <n v="12.5"/>
    <n v="0"/>
    <x v="4"/>
    <s v="DOMINIO"/>
    <x v="0"/>
    <m/>
    <m/>
    <n v="309"/>
    <n v="309"/>
    <n v="347.625"/>
  </r>
  <r>
    <x v="3"/>
    <x v="2"/>
    <x v="7"/>
    <x v="472"/>
    <x v="22"/>
    <x v="1"/>
    <n v="12.5"/>
    <n v="0"/>
    <x v="4"/>
    <s v="DOMINIO"/>
    <x v="0"/>
    <m/>
    <m/>
    <n v="250"/>
    <n v="250"/>
    <n v="281.25"/>
  </r>
  <r>
    <x v="3"/>
    <x v="2"/>
    <x v="7"/>
    <x v="473"/>
    <x v="22"/>
    <x v="1"/>
    <n v="12.5"/>
    <n v="0"/>
    <x v="4"/>
    <s v="DOMINIO"/>
    <x v="2"/>
    <m/>
    <s v="Assetplan - Asociado Dpto 522B"/>
    <n v="250"/>
    <n v="250"/>
    <n v="281.25"/>
  </r>
  <r>
    <x v="3"/>
    <x v="2"/>
    <x v="7"/>
    <x v="73"/>
    <x v="22"/>
    <x v="1"/>
    <n v="12.5"/>
    <n v="0"/>
    <x v="4"/>
    <s v="DOMINIO"/>
    <x v="2"/>
    <m/>
    <s v="Assetplan - Asociado Dpto 614B"/>
    <n v="350"/>
    <n v="350"/>
    <n v="393.75"/>
  </r>
  <r>
    <x v="3"/>
    <x v="2"/>
    <x v="7"/>
    <x v="401"/>
    <x v="22"/>
    <x v="1"/>
    <n v="12.5"/>
    <n v="0"/>
    <x v="4"/>
    <s v="DOMINIO"/>
    <x v="0"/>
    <s v="B - 63 Subte"/>
    <m/>
    <n v="350"/>
    <n v="350"/>
    <n v="393.75"/>
  </r>
  <r>
    <x v="3"/>
    <x v="2"/>
    <x v="7"/>
    <x v="372"/>
    <x v="22"/>
    <x v="1"/>
    <n v="12.5"/>
    <n v="0"/>
    <x v="4"/>
    <s v="DOMINIO"/>
    <x v="2"/>
    <m/>
    <s v="Assetplan - Asociado Dpto 619B"/>
    <n v="250"/>
    <n v="250"/>
    <n v="281.25"/>
  </r>
  <r>
    <x v="3"/>
    <x v="2"/>
    <x v="7"/>
    <x v="299"/>
    <x v="22"/>
    <x v="1"/>
    <n v="12.5"/>
    <n v="0"/>
    <x v="4"/>
    <s v="DOMINIO"/>
    <x v="2"/>
    <m/>
    <s v="Assetplan - Asociado Dpto 620B"/>
    <n v="250"/>
    <n v="250"/>
    <n v="281.25"/>
  </r>
  <r>
    <x v="3"/>
    <x v="2"/>
    <x v="7"/>
    <x v="229"/>
    <x v="22"/>
    <x v="1"/>
    <n v="12.5"/>
    <n v="0"/>
    <x v="4"/>
    <s v="DOMINIO"/>
    <x v="0"/>
    <s v="E - 324"/>
    <m/>
    <n v="250"/>
    <n v="250"/>
    <n v="281.25"/>
  </r>
  <r>
    <x v="3"/>
    <x v="2"/>
    <x v="7"/>
    <x v="373"/>
    <x v="22"/>
    <x v="1"/>
    <n v="12.5"/>
    <n v="0"/>
    <x v="4"/>
    <s v="DOMINIO"/>
    <x v="0"/>
    <s v="E - 323"/>
    <m/>
    <n v="250"/>
    <n v="250"/>
    <n v="281.25"/>
  </r>
  <r>
    <x v="3"/>
    <x v="2"/>
    <x v="7"/>
    <x v="302"/>
    <x v="22"/>
    <x v="1"/>
    <n v="12.5"/>
    <n v="0"/>
    <x v="4"/>
    <s v="DOMINIO"/>
    <x v="0"/>
    <s v="E - 322"/>
    <m/>
    <n v="250"/>
    <n v="250"/>
    <n v="281.25"/>
  </r>
  <r>
    <x v="3"/>
    <x v="2"/>
    <x v="7"/>
    <x v="355"/>
    <x v="22"/>
    <x v="1"/>
    <n v="12.5"/>
    <n v="0"/>
    <x v="4"/>
    <s v="DOMINIO"/>
    <x v="0"/>
    <s v="E - 321"/>
    <m/>
    <n v="250"/>
    <n v="250"/>
    <n v="281.25"/>
  </r>
  <r>
    <x v="3"/>
    <x v="2"/>
    <x v="7"/>
    <x v="4"/>
    <x v="22"/>
    <x v="1"/>
    <n v="12.5"/>
    <n v="0"/>
    <x v="4"/>
    <s v="DOMINIO"/>
    <x v="2"/>
    <m/>
    <s v="Assetplan - Asociado Dpto 714B"/>
    <n v="350"/>
    <n v="350"/>
    <n v="393.75"/>
  </r>
  <r>
    <x v="3"/>
    <x v="2"/>
    <x v="7"/>
    <x v="303"/>
    <x v="22"/>
    <x v="1"/>
    <n v="12.5"/>
    <n v="0"/>
    <x v="4"/>
    <s v="DOMINIO"/>
    <x v="2"/>
    <m/>
    <s v="Assetplan - Asociado Dpto 719B"/>
    <n v="250"/>
    <n v="250"/>
    <n v="281.25"/>
  </r>
  <r>
    <x v="3"/>
    <x v="2"/>
    <x v="7"/>
    <x v="356"/>
    <x v="22"/>
    <x v="1"/>
    <n v="12.5"/>
    <n v="0"/>
    <x v="4"/>
    <s v="DOMINIO"/>
    <x v="2"/>
    <m/>
    <s v="Assetplan - Asociado Dpto 721B"/>
    <n v="250"/>
    <n v="250"/>
    <n v="281.25"/>
  </r>
  <r>
    <x v="3"/>
    <x v="2"/>
    <x v="7"/>
    <x v="248"/>
    <x v="22"/>
    <x v="1"/>
    <n v="12.5"/>
    <n v="0"/>
    <x v="4"/>
    <s v="DOMINIO"/>
    <x v="0"/>
    <s v="E - 316"/>
    <m/>
    <n v="250"/>
    <n v="250"/>
    <n v="281.25"/>
  </r>
  <r>
    <x v="3"/>
    <x v="2"/>
    <x v="7"/>
    <x v="474"/>
    <x v="22"/>
    <x v="1"/>
    <n v="12.5"/>
    <n v="0"/>
    <x v="4"/>
    <s v="DOMINIO"/>
    <x v="0"/>
    <s v="E - 315"/>
    <m/>
    <n v="250"/>
    <n v="250"/>
    <n v="281.25"/>
  </r>
  <r>
    <x v="3"/>
    <x v="2"/>
    <x v="7"/>
    <x v="475"/>
    <x v="22"/>
    <x v="1"/>
    <n v="12.5"/>
    <n v="0"/>
    <x v="4"/>
    <s v="DOMINIO"/>
    <x v="0"/>
    <s v="E - 314"/>
    <m/>
    <n v="250"/>
    <n v="250"/>
    <n v="281.25"/>
  </r>
  <r>
    <x v="3"/>
    <x v="2"/>
    <x v="7"/>
    <x v="249"/>
    <x v="22"/>
    <x v="1"/>
    <n v="12.5"/>
    <n v="0"/>
    <x v="4"/>
    <s v="DOMINIO"/>
    <x v="0"/>
    <s v="E - 313"/>
    <m/>
    <n v="250"/>
    <n v="250"/>
    <n v="281.25"/>
  </r>
  <r>
    <x v="3"/>
    <x v="2"/>
    <x v="7"/>
    <x v="250"/>
    <x v="22"/>
    <x v="1"/>
    <n v="12.5"/>
    <n v="0"/>
    <x v="4"/>
    <s v="DOMINIO"/>
    <x v="2"/>
    <m/>
    <s v="Assetplan - Asociado Dpto 902A"/>
    <n v="250"/>
    <n v="250"/>
    <n v="281.25"/>
  </r>
  <r>
    <x v="3"/>
    <x v="2"/>
    <x v="7"/>
    <x v="476"/>
    <x v="22"/>
    <x v="1"/>
    <n v="12.5"/>
    <n v="0"/>
    <x v="4"/>
    <s v="DOMINIO"/>
    <x v="2"/>
    <m/>
    <s v="Assetplan - Asociado Dpto 722B"/>
    <n v="250"/>
    <n v="250"/>
    <n v="281.25"/>
  </r>
  <r>
    <x v="3"/>
    <x v="2"/>
    <x v="7"/>
    <x v="477"/>
    <x v="22"/>
    <x v="1"/>
    <n v="12.5"/>
    <n v="0"/>
    <x v="4"/>
    <s v="DOMINIO"/>
    <x v="2"/>
    <m/>
    <s v="Assetplan - Asociado Dpto 921B"/>
    <n v="250"/>
    <n v="250"/>
    <n v="281.25"/>
  </r>
  <r>
    <x v="3"/>
    <x v="2"/>
    <x v="7"/>
    <x v="478"/>
    <x v="22"/>
    <x v="1"/>
    <n v="12.5"/>
    <n v="0"/>
    <x v="4"/>
    <s v="DOMINIO"/>
    <x v="2"/>
    <m/>
    <s v="Assetplan - Asociado Dpto 922B"/>
    <n v="250"/>
    <n v="250"/>
    <n v="281.25"/>
  </r>
  <r>
    <x v="3"/>
    <x v="2"/>
    <x v="7"/>
    <x v="479"/>
    <x v="22"/>
    <x v="1"/>
    <n v="12.5"/>
    <n v="0"/>
    <x v="4"/>
    <s v="DOMINIO"/>
    <x v="0"/>
    <m/>
    <m/>
    <n v="300"/>
    <n v="300"/>
    <n v="337.5"/>
  </r>
  <r>
    <x v="3"/>
    <x v="2"/>
    <x v="7"/>
    <x v="480"/>
    <x v="23"/>
    <x v="1"/>
    <n v="12.5"/>
    <n v="0"/>
    <x v="4"/>
    <s v="DOMINIO"/>
    <x v="2"/>
    <m/>
    <s v="Assetplan"/>
    <n v="250"/>
    <n v="250"/>
    <n v="281.25"/>
  </r>
  <r>
    <x v="3"/>
    <x v="2"/>
    <x v="7"/>
    <x v="481"/>
    <x v="23"/>
    <x v="1"/>
    <n v="12.5"/>
    <n v="0"/>
    <x v="4"/>
    <s v="DOMINIO"/>
    <x v="2"/>
    <m/>
    <s v="Assetplan - Asociado Dpto 616B"/>
    <n v="250"/>
    <n v="250"/>
    <n v="281.25"/>
  </r>
  <r>
    <x v="3"/>
    <x v="2"/>
    <x v="7"/>
    <x v="482"/>
    <x v="23"/>
    <x v="1"/>
    <n v="12.5"/>
    <n v="0"/>
    <x v="4"/>
    <s v="DOMINIO"/>
    <x v="0"/>
    <m/>
    <m/>
    <n v="250"/>
    <n v="250"/>
    <n v="281.25"/>
  </r>
  <r>
    <x v="3"/>
    <x v="2"/>
    <x v="7"/>
    <x v="483"/>
    <x v="23"/>
    <x v="1"/>
    <n v="12.5"/>
    <n v="0"/>
    <x v="4"/>
    <s v="DOMINIO"/>
    <x v="0"/>
    <m/>
    <m/>
    <n v="250"/>
    <n v="250"/>
    <n v="281.25"/>
  </r>
  <r>
    <x v="3"/>
    <x v="2"/>
    <x v="7"/>
    <x v="484"/>
    <x v="23"/>
    <x v="1"/>
    <n v="12.5"/>
    <n v="0"/>
    <x v="4"/>
    <s v="DOMINIO"/>
    <x v="2"/>
    <m/>
    <s v="Assetplan - Asociado Dpto 711A"/>
    <n v="250"/>
    <n v="250"/>
    <n v="281.25"/>
  </r>
  <r>
    <x v="3"/>
    <x v="2"/>
    <x v="7"/>
    <x v="485"/>
    <x v="23"/>
    <x v="1"/>
    <n v="12.5"/>
    <n v="0"/>
    <x v="4"/>
    <s v="DOMINIO"/>
    <x v="2"/>
    <m/>
    <s v="Assetplan - Asociado Dpto 714 A"/>
    <n v="250"/>
    <n v="250"/>
    <n v="281.25"/>
  </r>
  <r>
    <x v="3"/>
    <x v="2"/>
    <x v="7"/>
    <x v="486"/>
    <x v="23"/>
    <x v="1"/>
    <n v="12.5"/>
    <n v="0"/>
    <x v="4"/>
    <s v="DOMINIO"/>
    <x v="0"/>
    <m/>
    <m/>
    <n v="250"/>
    <n v="250"/>
    <n v="281.25"/>
  </r>
  <r>
    <x v="3"/>
    <x v="2"/>
    <x v="7"/>
    <x v="487"/>
    <x v="23"/>
    <x v="1"/>
    <n v="12.5"/>
    <n v="0"/>
    <x v="4"/>
    <s v="DOMINIO"/>
    <x v="2"/>
    <m/>
    <s v="Assetplan - Asociado Dpto 813B"/>
    <n v="250"/>
    <n v="250"/>
    <n v="281.25"/>
  </r>
  <r>
    <x v="3"/>
    <x v="2"/>
    <x v="7"/>
    <x v="488"/>
    <x v="23"/>
    <x v="1"/>
    <n v="12.5"/>
    <n v="0"/>
    <x v="4"/>
    <s v="DOMINIO"/>
    <x v="2"/>
    <m/>
    <s v="Assetplan - Asociado Dpto 617A"/>
    <n v="250"/>
    <n v="250"/>
    <n v="281.25"/>
  </r>
  <r>
    <x v="3"/>
    <x v="2"/>
    <x v="7"/>
    <x v="489"/>
    <x v="23"/>
    <x v="1"/>
    <n v="12.5"/>
    <n v="0"/>
    <x v="4"/>
    <s v="DOMINIO"/>
    <x v="0"/>
    <m/>
    <m/>
    <n v="250"/>
    <n v="250"/>
    <n v="281.25"/>
  </r>
  <r>
    <x v="3"/>
    <x v="2"/>
    <x v="7"/>
    <x v="490"/>
    <x v="23"/>
    <x v="1"/>
    <n v="12.5"/>
    <n v="0"/>
    <x v="4"/>
    <s v="DOMINIO"/>
    <x v="0"/>
    <m/>
    <m/>
    <n v="250"/>
    <n v="250"/>
    <n v="281.25"/>
  </r>
  <r>
    <x v="3"/>
    <x v="2"/>
    <x v="7"/>
    <x v="491"/>
    <x v="23"/>
    <x v="1"/>
    <n v="12.5"/>
    <n v="0"/>
    <x v="4"/>
    <s v="DOMINIO"/>
    <x v="0"/>
    <m/>
    <m/>
    <n v="250"/>
    <n v="250"/>
    <n v="281.25"/>
  </r>
  <r>
    <x v="3"/>
    <x v="2"/>
    <x v="7"/>
    <x v="492"/>
    <x v="23"/>
    <x v="1"/>
    <n v="12.5"/>
    <n v="0"/>
    <x v="4"/>
    <s v="DOMINIO"/>
    <x v="2"/>
    <m/>
    <s v="Assetplan - Asociado Dpto 117A"/>
    <n v="250"/>
    <n v="250"/>
    <n v="281.25"/>
  </r>
  <r>
    <x v="3"/>
    <x v="2"/>
    <x v="7"/>
    <x v="493"/>
    <x v="23"/>
    <x v="1"/>
    <n v="12.5"/>
    <n v="0"/>
    <x v="4"/>
    <s v="DOMINIO"/>
    <x v="0"/>
    <m/>
    <m/>
    <n v="250"/>
    <n v="250"/>
    <n v="281.25"/>
  </r>
  <r>
    <x v="3"/>
    <x v="2"/>
    <x v="7"/>
    <x v="494"/>
    <x v="23"/>
    <x v="1"/>
    <n v="12.5"/>
    <n v="0"/>
    <x v="4"/>
    <s v="DOMINIO"/>
    <x v="2"/>
    <m/>
    <s v="Assetplan - Asociado Dpto 1014B"/>
    <n v="250"/>
    <n v="250"/>
    <n v="281.25"/>
  </r>
  <r>
    <x v="3"/>
    <x v="2"/>
    <x v="7"/>
    <x v="495"/>
    <x v="23"/>
    <x v="1"/>
    <n v="12.5"/>
    <n v="0"/>
    <x v="4"/>
    <s v="DOMINIO"/>
    <x v="2"/>
    <m/>
    <s v="Assetplan - Asociado Dpto 1101A"/>
    <n v="250"/>
    <n v="250"/>
    <n v="281.25"/>
  </r>
  <r>
    <x v="3"/>
    <x v="2"/>
    <x v="7"/>
    <x v="496"/>
    <x v="23"/>
    <x v="1"/>
    <n v="12.5"/>
    <n v="0"/>
    <x v="4"/>
    <s v="DOMINIO"/>
    <x v="2"/>
    <m/>
    <s v="Assetplan - Asociado Dpto 913B"/>
    <n v="250"/>
    <n v="250"/>
    <n v="281.25"/>
  </r>
  <r>
    <x v="3"/>
    <x v="2"/>
    <x v="7"/>
    <x v="497"/>
    <x v="23"/>
    <x v="1"/>
    <n v="12.5"/>
    <n v="0"/>
    <x v="4"/>
    <s v="DOMINIO"/>
    <x v="2"/>
    <m/>
    <s v="Assetplan - Asociado Dpto 415B"/>
    <n v="250"/>
    <n v="250"/>
    <n v="281.25"/>
  </r>
  <r>
    <x v="3"/>
    <x v="2"/>
    <x v="7"/>
    <x v="498"/>
    <x v="23"/>
    <x v="1"/>
    <n v="12.5"/>
    <n v="0"/>
    <x v="4"/>
    <s v="DOMINIO"/>
    <x v="2"/>
    <m/>
    <s v="Assetplan - Asociado Dpto 304A"/>
    <n v="250"/>
    <n v="250"/>
    <n v="281.25"/>
  </r>
  <r>
    <x v="3"/>
    <x v="2"/>
    <x v="7"/>
    <x v="499"/>
    <x v="23"/>
    <x v="1"/>
    <n v="12.5"/>
    <n v="0"/>
    <x v="4"/>
    <s v="DOMINIO"/>
    <x v="0"/>
    <m/>
    <m/>
    <n v="250"/>
    <n v="250"/>
    <n v="281.25"/>
  </r>
  <r>
    <x v="3"/>
    <x v="2"/>
    <x v="7"/>
    <x v="500"/>
    <x v="23"/>
    <x v="1"/>
    <n v="12.5"/>
    <n v="0"/>
    <x v="4"/>
    <s v="DOMINIO"/>
    <x v="2"/>
    <m/>
    <s v="Assetplan - Asociado Dpto 709A"/>
    <n v="250"/>
    <n v="250"/>
    <n v="281.25"/>
  </r>
  <r>
    <x v="3"/>
    <x v="2"/>
    <x v="7"/>
    <x v="501"/>
    <x v="23"/>
    <x v="1"/>
    <n v="12.5"/>
    <n v="0"/>
    <x v="4"/>
    <s v="DOMINIO"/>
    <x v="2"/>
    <m/>
    <s v="Assetplan - Asociado Dpto 315 B"/>
    <n v="250"/>
    <n v="250"/>
    <n v="281.25"/>
  </r>
  <r>
    <x v="3"/>
    <x v="2"/>
    <x v="7"/>
    <x v="502"/>
    <x v="23"/>
    <x v="1"/>
    <n v="12.5"/>
    <n v="0"/>
    <x v="4"/>
    <s v="DOMINIO"/>
    <x v="2"/>
    <m/>
    <s v="Assetplan - Asociado Dpto 504A"/>
    <n v="250"/>
    <n v="250"/>
    <n v="281.25"/>
  </r>
  <r>
    <x v="3"/>
    <x v="2"/>
    <x v="7"/>
    <x v="503"/>
    <x v="23"/>
    <x v="1"/>
    <n v="12.5"/>
    <n v="0"/>
    <x v="4"/>
    <s v="DOMINIO"/>
    <x v="2"/>
    <m/>
    <s v="Assetplan - Asociado Dpto 302A"/>
    <n v="250"/>
    <n v="250"/>
    <n v="281.25"/>
  </r>
  <r>
    <x v="3"/>
    <x v="2"/>
    <x v="7"/>
    <x v="504"/>
    <x v="23"/>
    <x v="1"/>
    <n v="12.5"/>
    <n v="0"/>
    <x v="4"/>
    <s v="DOMINIO"/>
    <x v="2"/>
    <m/>
    <s v="Assetplan - Asociado Dpto 104A"/>
    <n v="250"/>
    <n v="250"/>
    <n v="281.25"/>
  </r>
  <r>
    <x v="3"/>
    <x v="2"/>
    <x v="7"/>
    <x v="505"/>
    <x v="23"/>
    <x v="1"/>
    <n v="12.5"/>
    <n v="0"/>
    <x v="4"/>
    <s v="DOMINIO"/>
    <x v="0"/>
    <m/>
    <m/>
    <n v="250"/>
    <n v="250"/>
    <n v="281.25"/>
  </r>
  <r>
    <x v="3"/>
    <x v="2"/>
    <x v="7"/>
    <x v="506"/>
    <x v="23"/>
    <x v="1"/>
    <n v="12.5"/>
    <n v="0"/>
    <x v="4"/>
    <s v="DOMINIO"/>
    <x v="2"/>
    <m/>
    <s v="Assetplan - Asociado Dpto 114 B"/>
    <n v="250"/>
    <n v="250"/>
    <n v="281.25"/>
  </r>
  <r>
    <x v="3"/>
    <x v="2"/>
    <x v="7"/>
    <x v="507"/>
    <x v="23"/>
    <x v="1"/>
    <n v="12.5"/>
    <n v="0"/>
    <x v="4"/>
    <s v="DOMINIO"/>
    <x v="1"/>
    <m/>
    <m/>
    <n v="300"/>
    <n v="300"/>
    <n v="337.5"/>
  </r>
  <r>
    <x v="3"/>
    <x v="2"/>
    <x v="7"/>
    <x v="508"/>
    <x v="23"/>
    <x v="1"/>
    <n v="12.5"/>
    <n v="0"/>
    <x v="4"/>
    <s v="DOMINIO"/>
    <x v="2"/>
    <m/>
    <s v="Assetplan - Asociado Dpto 1021 B"/>
    <n v="250"/>
    <n v="250"/>
    <n v="281.25"/>
  </r>
  <r>
    <x v="3"/>
    <x v="2"/>
    <x v="7"/>
    <x v="509"/>
    <x v="23"/>
    <x v="1"/>
    <n v="12.5"/>
    <n v="0"/>
    <x v="4"/>
    <s v="DOMINIO"/>
    <x v="2"/>
    <m/>
    <s v="Assetplan - Asociado Dpto 203A"/>
    <n v="250"/>
    <n v="250"/>
    <n v="281.25"/>
  </r>
  <r>
    <x v="3"/>
    <x v="2"/>
    <x v="7"/>
    <x v="510"/>
    <x v="23"/>
    <x v="1"/>
    <n v="12.5"/>
    <n v="0"/>
    <x v="4"/>
    <s v="DOMINIO"/>
    <x v="2"/>
    <m/>
    <s v="Assetplan - Asociado Dpto 204A"/>
    <n v="250"/>
    <n v="250"/>
    <n v="281.25"/>
  </r>
  <r>
    <x v="3"/>
    <x v="2"/>
    <x v="7"/>
    <x v="511"/>
    <x v="23"/>
    <x v="1"/>
    <n v="12.5"/>
    <n v="0"/>
    <x v="4"/>
    <s v="DOMINIO"/>
    <x v="0"/>
    <m/>
    <m/>
    <n v="250"/>
    <n v="250"/>
    <n v="281.25"/>
  </r>
  <r>
    <x v="3"/>
    <x v="2"/>
    <x v="7"/>
    <x v="512"/>
    <x v="23"/>
    <x v="1"/>
    <n v="12.5"/>
    <n v="0"/>
    <x v="4"/>
    <s v="DOMINIO"/>
    <x v="2"/>
    <m/>
    <s v="Assetplan - Asociado Dpto 303A"/>
    <n v="250"/>
    <n v="250"/>
    <n v="281.25"/>
  </r>
  <r>
    <x v="3"/>
    <x v="2"/>
    <x v="7"/>
    <x v="513"/>
    <x v="23"/>
    <x v="1"/>
    <n v="12.5"/>
    <n v="0"/>
    <x v="4"/>
    <s v="DOMINIO"/>
    <x v="2"/>
    <m/>
    <s v="Assetplan - Asociado Dpto 309A"/>
    <n v="250"/>
    <n v="250"/>
    <n v="281.25"/>
  </r>
  <r>
    <x v="3"/>
    <x v="2"/>
    <x v="7"/>
    <x v="514"/>
    <x v="23"/>
    <x v="1"/>
    <n v="12.5"/>
    <n v="0"/>
    <x v="4"/>
    <s v="DOMINIO"/>
    <x v="2"/>
    <m/>
    <s v="Assetplan - Asociado Dpto 1120B"/>
    <n v="250"/>
    <n v="250"/>
    <n v="281.25"/>
  </r>
  <r>
    <x v="3"/>
    <x v="2"/>
    <x v="7"/>
    <x v="374"/>
    <x v="23"/>
    <x v="1"/>
    <n v="12.5"/>
    <n v="0"/>
    <x v="4"/>
    <s v="DOMINIO"/>
    <x v="2"/>
    <m/>
    <s v="Assetplan - Asociado Dpto 409A"/>
    <n v="250"/>
    <n v="250"/>
    <n v="281.25"/>
  </r>
  <r>
    <x v="3"/>
    <x v="2"/>
    <x v="7"/>
    <x v="238"/>
    <x v="23"/>
    <x v="1"/>
    <n v="12.5"/>
    <n v="0"/>
    <x v="4"/>
    <s v="DOMINIO"/>
    <x v="2"/>
    <m/>
    <s v="Assetplan - Asociado Dpto 602A"/>
    <n v="250"/>
    <n v="250"/>
    <n v="281.25"/>
  </r>
  <r>
    <x v="3"/>
    <x v="2"/>
    <x v="7"/>
    <x v="515"/>
    <x v="23"/>
    <x v="1"/>
    <n v="12.5"/>
    <n v="0"/>
    <x v="4"/>
    <s v="DOMINIO"/>
    <x v="0"/>
    <m/>
    <m/>
    <n v="250"/>
    <n v="250"/>
    <n v="281.25"/>
  </r>
  <r>
    <x v="3"/>
    <x v="2"/>
    <x v="7"/>
    <x v="305"/>
    <x v="23"/>
    <x v="1"/>
    <n v="12.5"/>
    <n v="0"/>
    <x v="4"/>
    <s v="DOMINIO"/>
    <x v="2"/>
    <m/>
    <s v="Assetplan - Asociado Dpto 1022 B"/>
    <n v="250"/>
    <n v="250"/>
    <n v="281.25"/>
  </r>
  <r>
    <x v="3"/>
    <x v="2"/>
    <x v="7"/>
    <x v="357"/>
    <x v="23"/>
    <x v="1"/>
    <n v="12.5"/>
    <n v="0"/>
    <x v="4"/>
    <s v="DOMINIO"/>
    <x v="2"/>
    <m/>
    <s v="Assetplan - Asociado Dpto 604A"/>
    <n v="250"/>
    <n v="250"/>
    <n v="281.25"/>
  </r>
  <r>
    <x v="3"/>
    <x v="2"/>
    <x v="7"/>
    <x v="306"/>
    <x v="23"/>
    <x v="1"/>
    <n v="12.5"/>
    <n v="0"/>
    <x v="4"/>
    <s v="DOMINIO"/>
    <x v="2"/>
    <m/>
    <s v="Assetplan - Asociado Dpto 701A"/>
    <n v="250"/>
    <n v="250"/>
    <n v="281.25"/>
  </r>
  <r>
    <x v="3"/>
    <x v="2"/>
    <x v="7"/>
    <x v="375"/>
    <x v="23"/>
    <x v="1"/>
    <n v="12.5"/>
    <n v="0"/>
    <x v="4"/>
    <s v="DOMINIO"/>
    <x v="0"/>
    <m/>
    <m/>
    <n v="250"/>
    <n v="250"/>
    <n v="281.25"/>
  </r>
  <r>
    <x v="3"/>
    <x v="2"/>
    <x v="7"/>
    <x v="307"/>
    <x v="23"/>
    <x v="1"/>
    <n v="12.5"/>
    <n v="0"/>
    <x v="4"/>
    <s v="DOMINIO"/>
    <x v="2"/>
    <m/>
    <s v="Assetplan - Asociado Dpto 703A"/>
    <n v="250"/>
    <n v="250"/>
    <n v="281.25"/>
  </r>
  <r>
    <x v="3"/>
    <x v="2"/>
    <x v="7"/>
    <x v="308"/>
    <x v="23"/>
    <x v="1"/>
    <n v="12.5"/>
    <n v="0"/>
    <x v="4"/>
    <s v="DOMINIO"/>
    <x v="2"/>
    <m/>
    <s v="Assetplan - Asociado Dpto 708A"/>
    <n v="250"/>
    <n v="250"/>
    <n v="281.25"/>
  </r>
  <r>
    <x v="3"/>
    <x v="2"/>
    <x v="7"/>
    <x v="9"/>
    <x v="23"/>
    <x v="1"/>
    <n v="12.5"/>
    <n v="0"/>
    <x v="4"/>
    <s v="DOMINIO"/>
    <x v="2"/>
    <m/>
    <s v="Assetplan - Asociado Dpto 901A"/>
    <n v="250"/>
    <n v="250"/>
    <n v="281.25"/>
  </r>
  <r>
    <x v="3"/>
    <x v="2"/>
    <x v="7"/>
    <x v="310"/>
    <x v="23"/>
    <x v="1"/>
    <n v="12.5"/>
    <n v="0"/>
    <x v="4"/>
    <s v="DOMINIO"/>
    <x v="0"/>
    <s v="E - 429"/>
    <m/>
    <n v="250"/>
    <n v="250"/>
    <n v="281.25"/>
  </r>
  <r>
    <x v="3"/>
    <x v="2"/>
    <x v="7"/>
    <x v="359"/>
    <x v="23"/>
    <x v="1"/>
    <n v="12.5"/>
    <n v="0"/>
    <x v="4"/>
    <s v="DOMINIO"/>
    <x v="0"/>
    <s v="E - 428"/>
    <m/>
    <n v="250"/>
    <n v="250"/>
    <n v="281.25"/>
  </r>
  <r>
    <x v="3"/>
    <x v="2"/>
    <x v="7"/>
    <x v="251"/>
    <x v="23"/>
    <x v="1"/>
    <n v="12.5"/>
    <n v="0"/>
    <x v="4"/>
    <s v="DOMINIO"/>
    <x v="0"/>
    <s v="E - 427"/>
    <m/>
    <n v="250"/>
    <n v="250"/>
    <n v="281.25"/>
  </r>
  <r>
    <x v="3"/>
    <x v="2"/>
    <x v="7"/>
    <x v="516"/>
    <x v="23"/>
    <x v="1"/>
    <n v="12.5"/>
    <n v="0"/>
    <x v="4"/>
    <s v="DOMINIO"/>
    <x v="0"/>
    <s v="E - 426"/>
    <m/>
    <n v="250"/>
    <n v="250"/>
    <n v="281.25"/>
  </r>
  <r>
    <x v="3"/>
    <x v="2"/>
    <x v="7"/>
    <x v="517"/>
    <x v="23"/>
    <x v="1"/>
    <n v="12.5"/>
    <n v="0"/>
    <x v="4"/>
    <s v="DOMINIO"/>
    <x v="2"/>
    <m/>
    <s v="Assetplan - Asociado Dpto 1104A"/>
    <n v="250"/>
    <n v="250"/>
    <n v="281.25"/>
  </r>
  <r>
    <x v="3"/>
    <x v="2"/>
    <x v="7"/>
    <x v="518"/>
    <x v="23"/>
    <x v="1"/>
    <n v="12.5"/>
    <n v="0"/>
    <x v="4"/>
    <s v="DOMINIO"/>
    <x v="2"/>
    <m/>
    <s v="Assetplan - Asociado Dpto 214B"/>
    <n v="250"/>
    <n v="250"/>
    <n v="281.25"/>
  </r>
  <r>
    <x v="3"/>
    <x v="2"/>
    <x v="7"/>
    <x v="519"/>
    <x v="23"/>
    <x v="1"/>
    <n v="12.5"/>
    <n v="0"/>
    <x v="4"/>
    <s v="DOMINIO"/>
    <x v="2"/>
    <m/>
    <s v="Assetplan - Asociado Dpto 219B"/>
    <n v="250"/>
    <n v="250"/>
    <n v="281.25"/>
  </r>
  <r>
    <x v="3"/>
    <x v="2"/>
    <x v="7"/>
    <x v="520"/>
    <x v="23"/>
    <x v="1"/>
    <n v="12.5"/>
    <n v="0"/>
    <x v="4"/>
    <s v="DOMINIO"/>
    <x v="2"/>
    <m/>
    <s v="Assetplan - Asociado Dpto 419B"/>
    <n v="250"/>
    <n v="250"/>
    <n v="281.25"/>
  </r>
  <r>
    <x v="3"/>
    <x v="2"/>
    <x v="7"/>
    <x v="521"/>
    <x v="23"/>
    <x v="1"/>
    <n v="12.5"/>
    <n v="0"/>
    <x v="4"/>
    <s v="DOMINIO"/>
    <x v="0"/>
    <s v="E - 421"/>
    <m/>
    <n v="250"/>
    <n v="250"/>
    <n v="281.25"/>
  </r>
  <r>
    <x v="3"/>
    <x v="2"/>
    <x v="7"/>
    <x v="522"/>
    <x v="23"/>
    <x v="1"/>
    <n v="12.5"/>
    <n v="0"/>
    <x v="4"/>
    <s v="DOMINIO"/>
    <x v="0"/>
    <s v="E - 420"/>
    <m/>
    <n v="250"/>
    <n v="250"/>
    <n v="281.25"/>
  </r>
  <r>
    <x v="3"/>
    <x v="2"/>
    <x v="7"/>
    <x v="523"/>
    <x v="23"/>
    <x v="1"/>
    <n v="12.5"/>
    <n v="0"/>
    <x v="4"/>
    <s v="DOMINIO"/>
    <x v="0"/>
    <s v="E - 419"/>
    <m/>
    <n v="250"/>
    <n v="250"/>
    <n v="281.25"/>
  </r>
  <r>
    <x v="3"/>
    <x v="2"/>
    <x v="7"/>
    <x v="524"/>
    <x v="23"/>
    <x v="1"/>
    <n v="12.5"/>
    <n v="0"/>
    <x v="4"/>
    <s v="DOMINIO"/>
    <x v="0"/>
    <s v="E - 418"/>
    <m/>
    <n v="250"/>
    <n v="250"/>
    <n v="281.25"/>
  </r>
  <r>
    <x v="3"/>
    <x v="2"/>
    <x v="7"/>
    <x v="525"/>
    <x v="23"/>
    <x v="1"/>
    <n v="12.5"/>
    <n v="0"/>
    <x v="4"/>
    <s v="DOMINIO"/>
    <x v="0"/>
    <m/>
    <m/>
    <n v="250"/>
    <n v="250"/>
    <n v="281.25"/>
  </r>
  <r>
    <x v="3"/>
    <x v="2"/>
    <x v="7"/>
    <x v="526"/>
    <x v="23"/>
    <x v="1"/>
    <n v="12.5"/>
    <n v="0"/>
    <x v="4"/>
    <s v="DOMINIO"/>
    <x v="2"/>
    <m/>
    <s v="Assetplan - Asociado Dpto 420B"/>
    <n v="250"/>
    <n v="250"/>
    <n v="281.25"/>
  </r>
  <r>
    <x v="3"/>
    <x v="2"/>
    <x v="7"/>
    <x v="527"/>
    <x v="23"/>
    <x v="1"/>
    <n v="12.5"/>
    <n v="0"/>
    <x v="4"/>
    <s v="DOMINIO"/>
    <x v="2"/>
    <m/>
    <s v="Assetplan - Asociado Dpto 514B"/>
    <n v="250"/>
    <n v="250"/>
    <n v="281.25"/>
  </r>
  <r>
    <x v="3"/>
    <x v="2"/>
    <x v="7"/>
    <x v="528"/>
    <x v="23"/>
    <x v="1"/>
    <n v="12.5"/>
    <n v="0"/>
    <x v="4"/>
    <s v="DOMINIO"/>
    <x v="2"/>
    <m/>
    <s v="Assetplan - Asociado Dpto 515B"/>
    <n v="250"/>
    <n v="250"/>
    <n v="281.25"/>
  </r>
  <r>
    <x v="3"/>
    <x v="2"/>
    <x v="7"/>
    <x v="529"/>
    <x v="23"/>
    <x v="1"/>
    <n v="12.5"/>
    <n v="0"/>
    <x v="9"/>
    <s v="USO Y GOCE"/>
    <x v="2"/>
    <m/>
    <s v="Assetplan - Asociado Dpto 519B"/>
    <n v="250"/>
    <n v="250"/>
    <n v="281.25"/>
  </r>
  <r>
    <x v="3"/>
    <x v="2"/>
    <x v="7"/>
    <x v="530"/>
    <x v="23"/>
    <x v="1"/>
    <n v="12.5"/>
    <n v="0"/>
    <x v="9"/>
    <s v="USO Y GOCE"/>
    <x v="2"/>
    <m/>
    <s v="Assetplan - Asociado Dpto 903A"/>
    <n v="250"/>
    <n v="250"/>
    <n v="281.25"/>
  </r>
  <r>
    <x v="4"/>
    <x v="0"/>
    <x v="0"/>
    <x v="201"/>
    <x v="6"/>
    <x v="2"/>
    <n v="31.07"/>
    <n v="2.86"/>
    <x v="7"/>
    <s v="DOMINIO"/>
    <x v="1"/>
    <m/>
    <m/>
    <n v="2407"/>
    <n v="2118.16"/>
    <n v="2382.9299999999998"/>
  </r>
  <r>
    <x v="4"/>
    <x v="0"/>
    <x v="0"/>
    <x v="202"/>
    <x v="6"/>
    <x v="2"/>
    <n v="31.07"/>
    <n v="2.86"/>
    <x v="7"/>
    <s v="DOMINIO"/>
    <x v="0"/>
    <m/>
    <m/>
    <n v="2407"/>
    <n v="2118.16"/>
    <n v="2382.9299999999998"/>
  </r>
  <r>
    <x v="4"/>
    <x v="0"/>
    <x v="0"/>
    <x v="369"/>
    <x v="3"/>
    <x v="2"/>
    <n v="31.07"/>
    <n v="2.86"/>
    <x v="8"/>
    <s v="DOMINIO"/>
    <x v="0"/>
    <m/>
    <m/>
    <n v="2487"/>
    <n v="2188.56"/>
    <n v="2462.1299999999997"/>
  </r>
  <r>
    <x v="4"/>
    <x v="0"/>
    <x v="0"/>
    <x v="352"/>
    <x v="3"/>
    <x v="2"/>
    <n v="31.07"/>
    <n v="2.86"/>
    <x v="8"/>
    <s v="DOMINIO"/>
    <x v="0"/>
    <m/>
    <m/>
    <n v="2487"/>
    <n v="2188.56"/>
    <n v="2462.1299999999997"/>
  </r>
  <r>
    <x v="4"/>
    <x v="0"/>
    <x v="0"/>
    <x v="3"/>
    <x v="3"/>
    <x v="2"/>
    <n v="31.07"/>
    <n v="2.86"/>
    <x v="8"/>
    <s v="DOMINIO"/>
    <x v="0"/>
    <m/>
    <m/>
    <n v="2487"/>
    <n v="2188.56"/>
    <n v="2462.1299999999997"/>
  </r>
  <r>
    <x v="4"/>
    <x v="0"/>
    <x v="0"/>
    <x v="73"/>
    <x v="0"/>
    <x v="2"/>
    <n v="31.07"/>
    <n v="2.86"/>
    <x v="8"/>
    <s v="DOMINIO"/>
    <x v="0"/>
    <m/>
    <m/>
    <n v="2498"/>
    <n v="2198.2400000000002"/>
    <n v="2473.02"/>
  </r>
  <r>
    <x v="4"/>
    <x v="0"/>
    <x v="0"/>
    <x v="237"/>
    <x v="0"/>
    <x v="2"/>
    <n v="31.07"/>
    <n v="2.86"/>
    <x v="7"/>
    <s v="DOMINIO"/>
    <x v="0"/>
    <m/>
    <m/>
    <n v="2475"/>
    <n v="2178"/>
    <n v="2450.25"/>
  </r>
  <r>
    <x v="4"/>
    <x v="0"/>
    <x v="0"/>
    <x v="402"/>
    <x v="0"/>
    <x v="2"/>
    <n v="31.07"/>
    <n v="2.86"/>
    <x v="7"/>
    <s v="DOMINIO"/>
    <x v="0"/>
    <m/>
    <m/>
    <n v="2475"/>
    <n v="2178"/>
    <n v="2450.25"/>
  </r>
  <r>
    <x v="4"/>
    <x v="0"/>
    <x v="0"/>
    <x v="355"/>
    <x v="0"/>
    <x v="2"/>
    <n v="31.07"/>
    <n v="2.86"/>
    <x v="8"/>
    <s v="DOMINIO"/>
    <x v="0"/>
    <m/>
    <m/>
    <n v="2498"/>
    <n v="2198.2400000000002"/>
    <n v="2473.02"/>
  </r>
  <r>
    <x v="4"/>
    <x v="0"/>
    <x v="0"/>
    <x v="4"/>
    <x v="0"/>
    <x v="2"/>
    <n v="31.07"/>
    <n v="2.86"/>
    <x v="8"/>
    <s v="DOMINIO"/>
    <x v="0"/>
    <m/>
    <m/>
    <n v="2498"/>
    <n v="2198.2400000000002"/>
    <n v="2473.02"/>
  </r>
  <r>
    <x v="4"/>
    <x v="0"/>
    <x v="0"/>
    <x v="374"/>
    <x v="4"/>
    <x v="2"/>
    <n v="31.07"/>
    <n v="2.86"/>
    <x v="8"/>
    <s v="DOMINIO"/>
    <x v="0"/>
    <m/>
    <m/>
    <n v="2510"/>
    <n v="2208.8000000000002"/>
    <n v="2484.9"/>
  </r>
  <r>
    <x v="4"/>
    <x v="0"/>
    <x v="0"/>
    <x v="374"/>
    <x v="4"/>
    <x v="0"/>
    <n v="31.07"/>
    <n v="2.86"/>
    <x v="5"/>
    <s v="DOMINIO"/>
    <x v="0"/>
    <m/>
    <m/>
    <n v="2533"/>
    <n v="2229.04"/>
    <n v="2507.6699999999996"/>
  </r>
  <r>
    <x v="4"/>
    <x v="0"/>
    <x v="0"/>
    <x v="304"/>
    <x v="4"/>
    <x v="0"/>
    <n v="31.07"/>
    <n v="2.86"/>
    <x v="5"/>
    <s v="DOMINIO"/>
    <x v="0"/>
    <m/>
    <m/>
    <n v="2533"/>
    <n v="2229.04"/>
    <n v="2507.6699999999996"/>
  </r>
  <r>
    <x v="4"/>
    <x v="0"/>
    <x v="0"/>
    <x v="281"/>
    <x v="4"/>
    <x v="0"/>
    <n v="31.07"/>
    <n v="2.86"/>
    <x v="6"/>
    <s v="DOMINIO"/>
    <x v="0"/>
    <m/>
    <m/>
    <n v="2453"/>
    <n v="2158.64"/>
    <n v="2428.4699999999998"/>
  </r>
  <r>
    <x v="4"/>
    <x v="0"/>
    <x v="0"/>
    <x v="515"/>
    <x v="4"/>
    <x v="0"/>
    <n v="31.07"/>
    <n v="2.86"/>
    <x v="6"/>
    <s v="DOMINIO"/>
    <x v="0"/>
    <m/>
    <m/>
    <n v="2453"/>
    <n v="2158.64"/>
    <n v="2428.4699999999998"/>
  </r>
  <r>
    <x v="4"/>
    <x v="0"/>
    <x v="0"/>
    <x v="306"/>
    <x v="4"/>
    <x v="2"/>
    <n v="31.07"/>
    <n v="2.86"/>
    <x v="7"/>
    <s v="DOMINIO"/>
    <x v="1"/>
    <m/>
    <m/>
    <n v="2487"/>
    <n v="2188.56"/>
    <n v="2462.1299999999997"/>
  </r>
  <r>
    <x v="4"/>
    <x v="0"/>
    <x v="0"/>
    <x v="375"/>
    <x v="4"/>
    <x v="2"/>
    <n v="31.07"/>
    <n v="2.86"/>
    <x v="7"/>
    <s v="DOMINIO"/>
    <x v="0"/>
    <m/>
    <m/>
    <n v="2487"/>
    <n v="2188.56"/>
    <n v="2462.1299999999997"/>
  </r>
  <r>
    <x v="4"/>
    <x v="0"/>
    <x v="0"/>
    <x v="358"/>
    <x v="4"/>
    <x v="2"/>
    <n v="31.07"/>
    <n v="2.86"/>
    <x v="8"/>
    <s v="DOMINIO"/>
    <x v="0"/>
    <m/>
    <m/>
    <n v="2510"/>
    <n v="2208.8000000000002"/>
    <n v="2484.9"/>
  </r>
  <r>
    <x v="4"/>
    <x v="0"/>
    <x v="0"/>
    <x v="311"/>
    <x v="7"/>
    <x v="0"/>
    <n v="31.07"/>
    <n v="2.86"/>
    <x v="5"/>
    <s v="DOMINIO"/>
    <x v="0"/>
    <m/>
    <m/>
    <n v="2544"/>
    <n v="2238.7199999999998"/>
    <n v="2518.5599999999995"/>
  </r>
  <r>
    <x v="4"/>
    <x v="0"/>
    <x v="0"/>
    <x v="531"/>
    <x v="7"/>
    <x v="0"/>
    <n v="31.07"/>
    <n v="2.86"/>
    <x v="6"/>
    <s v="DOMINIO"/>
    <x v="0"/>
    <m/>
    <m/>
    <n v="2464"/>
    <n v="2168.3200000000002"/>
    <n v="2439.36"/>
  </r>
  <r>
    <x v="4"/>
    <x v="0"/>
    <x v="0"/>
    <x v="314"/>
    <x v="7"/>
    <x v="2"/>
    <n v="31.07"/>
    <n v="2.86"/>
    <x v="7"/>
    <s v="DOMINIO"/>
    <x v="0"/>
    <m/>
    <m/>
    <n v="2498"/>
    <n v="2198.2400000000002"/>
    <n v="2473.02"/>
  </r>
  <r>
    <x v="4"/>
    <x v="0"/>
    <x v="0"/>
    <x v="532"/>
    <x v="7"/>
    <x v="2"/>
    <n v="31.07"/>
    <n v="2.86"/>
    <x v="7"/>
    <s v="DOMINIO"/>
    <x v="0"/>
    <m/>
    <m/>
    <n v="2498"/>
    <n v="2198.2400000000002"/>
    <n v="2473.02"/>
  </r>
  <r>
    <x v="4"/>
    <x v="0"/>
    <x v="0"/>
    <x v="74"/>
    <x v="8"/>
    <x v="2"/>
    <n v="31.07"/>
    <n v="2.86"/>
    <x v="8"/>
    <s v="DOMINIO"/>
    <x v="0"/>
    <m/>
    <m/>
    <n v="2533"/>
    <n v="2229.04"/>
    <n v="2507.6699999999996"/>
  </r>
  <r>
    <x v="4"/>
    <x v="0"/>
    <x v="0"/>
    <x v="319"/>
    <x v="8"/>
    <x v="0"/>
    <n v="31.07"/>
    <n v="2.86"/>
    <x v="5"/>
    <s v="DOMINIO"/>
    <x v="0"/>
    <m/>
    <m/>
    <n v="2555"/>
    <n v="2248.4"/>
    <n v="2529.4499999999998"/>
  </r>
  <r>
    <x v="4"/>
    <x v="0"/>
    <x v="0"/>
    <x v="285"/>
    <x v="8"/>
    <x v="0"/>
    <n v="31.07"/>
    <n v="2.86"/>
    <x v="6"/>
    <s v="DOMINIO"/>
    <x v="0"/>
    <m/>
    <m/>
    <n v="2475"/>
    <n v="2178"/>
    <n v="2450.25"/>
  </r>
  <r>
    <x v="4"/>
    <x v="0"/>
    <x v="0"/>
    <x v="533"/>
    <x v="8"/>
    <x v="2"/>
    <n v="31.07"/>
    <n v="2.86"/>
    <x v="7"/>
    <s v="DOMINIO"/>
    <x v="0"/>
    <m/>
    <m/>
    <n v="2510"/>
    <n v="2208.8000000000002"/>
    <n v="2484.9"/>
  </r>
  <r>
    <x v="4"/>
    <x v="0"/>
    <x v="0"/>
    <x v="380"/>
    <x v="8"/>
    <x v="2"/>
    <n v="31.07"/>
    <n v="2.86"/>
    <x v="7"/>
    <s v="DOMINIO"/>
    <x v="0"/>
    <m/>
    <m/>
    <n v="2510"/>
    <n v="2208.8000000000002"/>
    <n v="2484.9"/>
  </r>
  <r>
    <x v="4"/>
    <x v="0"/>
    <x v="0"/>
    <x v="361"/>
    <x v="8"/>
    <x v="2"/>
    <n v="31.07"/>
    <n v="2.86"/>
    <x v="8"/>
    <s v="DOMINIO"/>
    <x v="1"/>
    <m/>
    <m/>
    <n v="2533"/>
    <n v="2229.04"/>
    <n v="2507.6699999999996"/>
  </r>
  <r>
    <x v="4"/>
    <x v="0"/>
    <x v="0"/>
    <x v="390"/>
    <x v="8"/>
    <x v="2"/>
    <n v="31.07"/>
    <n v="2.86"/>
    <x v="8"/>
    <s v="DOMINIO"/>
    <x v="0"/>
    <m/>
    <m/>
    <n v="2533"/>
    <n v="2229.04"/>
    <n v="2507.6699999999996"/>
  </r>
  <r>
    <x v="4"/>
    <x v="0"/>
    <x v="0"/>
    <x v="76"/>
    <x v="9"/>
    <x v="2"/>
    <n v="31.07"/>
    <n v="2.86"/>
    <x v="8"/>
    <s v="DOMINIO"/>
    <x v="1"/>
    <m/>
    <m/>
    <n v="2544"/>
    <n v="2238.7199999999998"/>
    <n v="2518.5599999999995"/>
  </r>
  <r>
    <x v="4"/>
    <x v="0"/>
    <x v="0"/>
    <x v="76"/>
    <x v="9"/>
    <x v="0"/>
    <n v="31.07"/>
    <n v="2.86"/>
    <x v="5"/>
    <s v="DOMINIO"/>
    <x v="0"/>
    <m/>
    <m/>
    <n v="2567"/>
    <n v="2258.96"/>
    <n v="2541.33"/>
  </r>
  <r>
    <x v="4"/>
    <x v="0"/>
    <x v="0"/>
    <x v="327"/>
    <x v="9"/>
    <x v="0"/>
    <n v="31.07"/>
    <n v="2.86"/>
    <x v="5"/>
    <s v="DOMINIO"/>
    <x v="0"/>
    <m/>
    <m/>
    <n v="2567"/>
    <n v="2258.96"/>
    <n v="2541.33"/>
  </r>
  <r>
    <x v="4"/>
    <x v="0"/>
    <x v="0"/>
    <x v="239"/>
    <x v="9"/>
    <x v="2"/>
    <n v="31.07"/>
    <n v="2.86"/>
    <x v="7"/>
    <s v="DOMINIO"/>
    <x v="0"/>
    <m/>
    <m/>
    <n v="2521"/>
    <n v="2218.48"/>
    <n v="2495.79"/>
  </r>
  <r>
    <x v="4"/>
    <x v="0"/>
    <x v="0"/>
    <x v="260"/>
    <x v="9"/>
    <x v="2"/>
    <n v="31.07"/>
    <n v="2.86"/>
    <x v="8"/>
    <s v="DOMINIO"/>
    <x v="0"/>
    <m/>
    <m/>
    <n v="2544"/>
    <n v="2238.7199999999998"/>
    <n v="2518.5599999999995"/>
  </r>
  <r>
    <x v="4"/>
    <x v="0"/>
    <x v="0"/>
    <x v="392"/>
    <x v="9"/>
    <x v="2"/>
    <n v="31.07"/>
    <n v="2.86"/>
    <x v="8"/>
    <s v="DOMINIO"/>
    <x v="0"/>
    <m/>
    <m/>
    <n v="2544"/>
    <n v="2238.7199999999998"/>
    <n v="2518.5599999999995"/>
  </r>
  <r>
    <x v="4"/>
    <x v="0"/>
    <x v="0"/>
    <x v="78"/>
    <x v="5"/>
    <x v="2"/>
    <n v="31.07"/>
    <n v="2.86"/>
    <x v="8"/>
    <s v="DOMINIO"/>
    <x v="0"/>
    <m/>
    <m/>
    <n v="2555"/>
    <n v="2248.4"/>
    <n v="2529.4499999999998"/>
  </r>
  <r>
    <x v="4"/>
    <x v="0"/>
    <x v="0"/>
    <x v="78"/>
    <x v="5"/>
    <x v="0"/>
    <n v="31.07"/>
    <n v="2.86"/>
    <x v="5"/>
    <s v="DOMINIO"/>
    <x v="0"/>
    <m/>
    <m/>
    <n v="2578"/>
    <n v="2268.64"/>
    <n v="2552.2199999999998"/>
  </r>
  <r>
    <x v="4"/>
    <x v="0"/>
    <x v="0"/>
    <x v="335"/>
    <x v="5"/>
    <x v="0"/>
    <n v="31.07"/>
    <n v="2.86"/>
    <x v="5"/>
    <s v="DOMINIO"/>
    <x v="0"/>
    <m/>
    <m/>
    <n v="2578"/>
    <n v="2268.64"/>
    <n v="2552.2199999999998"/>
  </r>
  <r>
    <x v="4"/>
    <x v="0"/>
    <x v="0"/>
    <x v="6"/>
    <x v="5"/>
    <x v="2"/>
    <n v="31.07"/>
    <n v="2.86"/>
    <x v="7"/>
    <s v="DOMINIO"/>
    <x v="0"/>
    <m/>
    <m/>
    <n v="2533"/>
    <n v="2229.04"/>
    <n v="2507.6699999999996"/>
  </r>
  <r>
    <x v="4"/>
    <x v="0"/>
    <x v="0"/>
    <x v="337"/>
    <x v="5"/>
    <x v="2"/>
    <n v="31.07"/>
    <n v="2.86"/>
    <x v="7"/>
    <s v="DOMINIO"/>
    <x v="0"/>
    <m/>
    <m/>
    <n v="2533"/>
    <n v="2229.04"/>
    <n v="2507.6699999999996"/>
  </r>
  <r>
    <x v="4"/>
    <x v="0"/>
    <x v="0"/>
    <x v="382"/>
    <x v="5"/>
    <x v="2"/>
    <n v="31.07"/>
    <n v="2.86"/>
    <x v="7"/>
    <s v="DOMINIO"/>
    <x v="0"/>
    <m/>
    <m/>
    <n v="2533"/>
    <n v="2229.04"/>
    <n v="2507.6699999999996"/>
  </r>
  <r>
    <x v="4"/>
    <x v="0"/>
    <x v="0"/>
    <x v="265"/>
    <x v="5"/>
    <x v="2"/>
    <n v="31.07"/>
    <n v="2.86"/>
    <x v="8"/>
    <s v="DOMINIO"/>
    <x v="0"/>
    <m/>
    <m/>
    <n v="2555"/>
    <n v="2248.4"/>
    <n v="2529.4499999999998"/>
  </r>
  <r>
    <x v="4"/>
    <x v="0"/>
    <x v="0"/>
    <x v="266"/>
    <x v="5"/>
    <x v="2"/>
    <n v="31.07"/>
    <n v="2.86"/>
    <x v="8"/>
    <s v="DOMINIO"/>
    <x v="0"/>
    <m/>
    <m/>
    <n v="2555"/>
    <n v="2248.4"/>
    <n v="2529.4499999999998"/>
  </r>
  <r>
    <x v="4"/>
    <x v="0"/>
    <x v="0"/>
    <x v="80"/>
    <x v="10"/>
    <x v="2"/>
    <n v="31.07"/>
    <n v="2.86"/>
    <x v="8"/>
    <s v="DOMINIO"/>
    <x v="0"/>
    <m/>
    <m/>
    <n v="2567"/>
    <n v="2258.96"/>
    <n v="2541.33"/>
  </r>
  <r>
    <x v="4"/>
    <x v="0"/>
    <x v="0"/>
    <x v="80"/>
    <x v="10"/>
    <x v="0"/>
    <n v="31.07"/>
    <n v="2.86"/>
    <x v="5"/>
    <s v="DOMINIO"/>
    <x v="0"/>
    <m/>
    <m/>
    <n v="2590"/>
    <n v="2279.1999999999998"/>
    <n v="2564.0999999999995"/>
  </r>
  <r>
    <x v="4"/>
    <x v="0"/>
    <x v="0"/>
    <x v="240"/>
    <x v="10"/>
    <x v="0"/>
    <n v="31.07"/>
    <n v="2.86"/>
    <x v="5"/>
    <s v="DOMINIO"/>
    <x v="0"/>
    <m/>
    <m/>
    <n v="2590"/>
    <n v="2279.1999999999998"/>
    <n v="2564.0999999999995"/>
  </r>
  <r>
    <x v="4"/>
    <x v="0"/>
    <x v="0"/>
    <x v="393"/>
    <x v="10"/>
    <x v="2"/>
    <n v="31.07"/>
    <n v="2.86"/>
    <x v="7"/>
    <s v="DOMINIO"/>
    <x v="1"/>
    <m/>
    <m/>
    <n v="2544"/>
    <n v="2238.7199999999998"/>
    <n v="2518.5599999999995"/>
  </r>
  <r>
    <x v="4"/>
    <x v="0"/>
    <x v="0"/>
    <x v="341"/>
    <x v="10"/>
    <x v="2"/>
    <n v="31.07"/>
    <n v="2.86"/>
    <x v="7"/>
    <s v="DOMINIO"/>
    <x v="1"/>
    <m/>
    <m/>
    <n v="2544"/>
    <n v="2238.7199999999998"/>
    <n v="2518.5599999999995"/>
  </r>
  <r>
    <x v="4"/>
    <x v="0"/>
    <x v="0"/>
    <x v="365"/>
    <x v="10"/>
    <x v="2"/>
    <n v="31.07"/>
    <n v="2.86"/>
    <x v="8"/>
    <s v="DOMINIO"/>
    <x v="0"/>
    <m/>
    <m/>
    <n v="2567"/>
    <n v="2258.96"/>
    <n v="2541.33"/>
  </r>
  <r>
    <x v="4"/>
    <x v="0"/>
    <x v="0"/>
    <x v="394"/>
    <x v="10"/>
    <x v="2"/>
    <n v="31.07"/>
    <n v="2.86"/>
    <x v="8"/>
    <s v="DOMINIO"/>
    <x v="0"/>
    <m/>
    <m/>
    <n v="2567"/>
    <n v="2258.96"/>
    <n v="2541.33"/>
  </r>
  <r>
    <x v="4"/>
    <x v="0"/>
    <x v="0"/>
    <x v="82"/>
    <x v="11"/>
    <x v="2"/>
    <n v="31.07"/>
    <n v="2.86"/>
    <x v="8"/>
    <s v="DOMINIO"/>
    <x v="0"/>
    <m/>
    <m/>
    <n v="2578"/>
    <n v="2268.64"/>
    <n v="2552.2199999999998"/>
  </r>
  <r>
    <x v="4"/>
    <x v="0"/>
    <x v="0"/>
    <x v="82"/>
    <x v="11"/>
    <x v="0"/>
    <n v="31.07"/>
    <n v="2.86"/>
    <x v="5"/>
    <s v="DOMINIO"/>
    <x v="0"/>
    <m/>
    <m/>
    <n v="2601"/>
    <n v="2288.88"/>
    <n v="2574.9900000000002"/>
  </r>
  <r>
    <x v="4"/>
    <x v="0"/>
    <x v="0"/>
    <x v="345"/>
    <x v="11"/>
    <x v="0"/>
    <n v="31.07"/>
    <n v="2.86"/>
    <x v="5"/>
    <s v="DOMINIO"/>
    <x v="0"/>
    <m/>
    <m/>
    <n v="2601"/>
    <n v="2288.88"/>
    <n v="2574.9900000000002"/>
  </r>
  <r>
    <x v="4"/>
    <x v="0"/>
    <x v="0"/>
    <x v="395"/>
    <x v="11"/>
    <x v="2"/>
    <n v="31.07"/>
    <n v="2.86"/>
    <x v="7"/>
    <s v="DOMINIO"/>
    <x v="1"/>
    <m/>
    <m/>
    <n v="2555"/>
    <n v="2248.4"/>
    <n v="2529.4499999999998"/>
  </r>
  <r>
    <x v="4"/>
    <x v="0"/>
    <x v="3"/>
    <x v="203"/>
    <x v="6"/>
    <x v="2"/>
    <n v="36.9"/>
    <n v="2.2400000000000002"/>
    <x v="7"/>
    <s v="DOMINIO"/>
    <x v="1"/>
    <m/>
    <m/>
    <n v="2520"/>
    <n v="2268"/>
    <n v="2551.5"/>
  </r>
  <r>
    <x v="4"/>
    <x v="0"/>
    <x v="3"/>
    <x v="279"/>
    <x v="0"/>
    <x v="2"/>
    <n v="36.9"/>
    <n v="2.2400000000000002"/>
    <x v="7"/>
    <s v="DOMINIO"/>
    <x v="1"/>
    <m/>
    <m/>
    <n v="2589"/>
    <n v="2330.1"/>
    <n v="2621.3625000000002"/>
  </r>
  <r>
    <x v="4"/>
    <x v="0"/>
    <x v="3"/>
    <x v="281"/>
    <x v="4"/>
    <x v="2"/>
    <n v="36.9"/>
    <n v="2.2400000000000002"/>
    <x v="7"/>
    <s v="DOMINIO"/>
    <x v="0"/>
    <m/>
    <m/>
    <n v="2600"/>
    <n v="2340"/>
    <n v="2632.5"/>
  </r>
  <r>
    <x v="4"/>
    <x v="0"/>
    <x v="3"/>
    <x v="288"/>
    <x v="10"/>
    <x v="2"/>
    <n v="36.9"/>
    <n v="2.2400000000000002"/>
    <x v="7"/>
    <s v="DOMINIO"/>
    <x v="0"/>
    <m/>
    <m/>
    <n v="2657"/>
    <n v="2391.3000000000002"/>
    <n v="2690.2125000000001"/>
  </r>
  <r>
    <x v="4"/>
    <x v="0"/>
    <x v="3"/>
    <x v="342"/>
    <x v="10"/>
    <x v="2"/>
    <n v="36.9"/>
    <n v="2.2400000000000002"/>
    <x v="7"/>
    <s v="DOMINIO"/>
    <x v="0"/>
    <m/>
    <m/>
    <n v="2657"/>
    <n v="2391.3000000000002"/>
    <n v="2690.2125000000001"/>
  </r>
  <r>
    <x v="4"/>
    <x v="0"/>
    <x v="3"/>
    <x v="289"/>
    <x v="11"/>
    <x v="2"/>
    <n v="36.9"/>
    <n v="2.2400000000000002"/>
    <x v="7"/>
    <s v="DOMINIO"/>
    <x v="0"/>
    <m/>
    <m/>
    <n v="2669"/>
    <n v="2402.1"/>
    <n v="2702.3624999999997"/>
  </r>
  <r>
    <x v="4"/>
    <x v="0"/>
    <x v="10"/>
    <x v="292"/>
    <x v="3"/>
    <x v="0"/>
    <n v="42.66"/>
    <n v="2.2200000000000002"/>
    <x v="6"/>
    <s v="DOMINIO"/>
    <x v="1"/>
    <m/>
    <m/>
    <n v="2825"/>
    <n v="2542.5"/>
    <n v="2860.3125"/>
  </r>
  <r>
    <x v="4"/>
    <x v="0"/>
    <x v="10"/>
    <x v="278"/>
    <x v="0"/>
    <x v="2"/>
    <n v="42.66"/>
    <n v="2.2200000000000002"/>
    <x v="8"/>
    <s v="DOMINIO"/>
    <x v="0"/>
    <m/>
    <m/>
    <n v="2894"/>
    <n v="2604.6"/>
    <n v="2930.1749999999997"/>
  </r>
  <r>
    <x v="4"/>
    <x v="0"/>
    <x v="10"/>
    <x v="300"/>
    <x v="0"/>
    <x v="0"/>
    <n v="42.66"/>
    <n v="2.2200000000000002"/>
    <x v="6"/>
    <s v="DOMINIO"/>
    <x v="1"/>
    <m/>
    <m/>
    <n v="2837"/>
    <n v="2553.3000000000002"/>
    <n v="2872.4625000000001"/>
  </r>
  <r>
    <x v="4"/>
    <x v="0"/>
    <x v="10"/>
    <x v="313"/>
    <x v="7"/>
    <x v="2"/>
    <n v="42.66"/>
    <n v="2.2200000000000002"/>
    <x v="7"/>
    <s v="DOMINIO"/>
    <x v="0"/>
    <m/>
    <m/>
    <n v="2894"/>
    <n v="2604.6"/>
    <n v="2930.1749999999997"/>
  </r>
  <r>
    <x v="4"/>
    <x v="0"/>
    <x v="10"/>
    <x v="330"/>
    <x v="9"/>
    <x v="0"/>
    <n v="42.66"/>
    <n v="2.2200000000000002"/>
    <x v="6"/>
    <s v="DOMINIO"/>
    <x v="1"/>
    <m/>
    <m/>
    <n v="2882"/>
    <n v="2593.8000000000002"/>
    <n v="2918.0250000000001"/>
  </r>
  <r>
    <x v="4"/>
    <x v="0"/>
    <x v="10"/>
    <x v="337"/>
    <x v="5"/>
    <x v="0"/>
    <n v="42.66"/>
    <n v="2.2200000000000002"/>
    <x v="6"/>
    <s v="DOMINIO"/>
    <x v="0"/>
    <m/>
    <m/>
    <n v="2894"/>
    <n v="2604.6"/>
    <n v="2930.1749999999997"/>
  </r>
  <r>
    <x v="4"/>
    <x v="0"/>
    <x v="10"/>
    <x v="79"/>
    <x v="10"/>
    <x v="2"/>
    <n v="42.66"/>
    <n v="2.2200000000000002"/>
    <x v="8"/>
    <s v="DOMINIO"/>
    <x v="1"/>
    <m/>
    <m/>
    <n v="2962"/>
    <n v="2665.8"/>
    <n v="2999.0250000000001"/>
  </r>
  <r>
    <x v="4"/>
    <x v="0"/>
    <x v="4"/>
    <x v="204"/>
    <x v="6"/>
    <x v="2"/>
    <n v="43.36"/>
    <n v="2.2400000000000002"/>
    <x v="7"/>
    <s v="DOMINIO"/>
    <x v="0"/>
    <m/>
    <m/>
    <n v="2749"/>
    <n v="2474.1"/>
    <n v="2783.3624999999997"/>
  </r>
  <r>
    <x v="4"/>
    <x v="0"/>
    <x v="4"/>
    <x v="406"/>
    <x v="3"/>
    <x v="2"/>
    <n v="43.22"/>
    <n v="2.2400000000000002"/>
    <x v="8"/>
    <s v="DOMINIO"/>
    <x v="1"/>
    <m/>
    <m/>
    <n v="2829"/>
    <n v="2546.1"/>
    <n v="2864.3624999999997"/>
  </r>
  <r>
    <x v="4"/>
    <x v="0"/>
    <x v="4"/>
    <x v="371"/>
    <x v="3"/>
    <x v="2"/>
    <n v="43.22"/>
    <n v="2.2400000000000002"/>
    <x v="8"/>
    <s v="DOMINIO"/>
    <x v="1"/>
    <m/>
    <m/>
    <n v="2829"/>
    <n v="2546.1"/>
    <n v="2864.3624999999997"/>
  </r>
  <r>
    <x v="4"/>
    <x v="0"/>
    <x v="4"/>
    <x v="373"/>
    <x v="0"/>
    <x v="0"/>
    <n v="42.82"/>
    <n v="2.2400000000000002"/>
    <x v="5"/>
    <s v="DOMINIO"/>
    <x v="2"/>
    <m/>
    <s v="Assetplan - Asociado Est 1B"/>
    <n v="2880"/>
    <n v="2592"/>
    <n v="2916"/>
  </r>
  <r>
    <x v="4"/>
    <x v="0"/>
    <x v="4"/>
    <x v="373"/>
    <x v="0"/>
    <x v="2"/>
    <n v="43.22"/>
    <n v="2.2400000000000002"/>
    <x v="8"/>
    <s v="DOMINIO"/>
    <x v="0"/>
    <m/>
    <m/>
    <n v="2851"/>
    <n v="2565.9"/>
    <n v="2886.6374999999998"/>
  </r>
  <r>
    <x v="4"/>
    <x v="0"/>
    <x v="4"/>
    <x v="238"/>
    <x v="4"/>
    <x v="2"/>
    <n v="43.22"/>
    <n v="2.2400000000000002"/>
    <x v="8"/>
    <s v="DOMINIO"/>
    <x v="0"/>
    <m/>
    <m/>
    <n v="2851"/>
    <n v="2565.9"/>
    <n v="2886.6374999999998"/>
  </r>
  <r>
    <x v="4"/>
    <x v="0"/>
    <x v="4"/>
    <x v="284"/>
    <x v="8"/>
    <x v="0"/>
    <n v="42.82"/>
    <n v="2.2400000000000002"/>
    <x v="5"/>
    <s v="DOMINIO"/>
    <x v="1"/>
    <m/>
    <m/>
    <n v="2897"/>
    <n v="2607.3000000000002"/>
    <n v="2933.2125000000001"/>
  </r>
  <r>
    <x v="4"/>
    <x v="0"/>
    <x v="4"/>
    <x v="14"/>
    <x v="9"/>
    <x v="2"/>
    <n v="43.22"/>
    <n v="2.2400000000000002"/>
    <x v="7"/>
    <s v="DOMINIO"/>
    <x v="1"/>
    <m/>
    <m/>
    <n v="2863"/>
    <n v="2576.7000000000003"/>
    <n v="2898.7874999999999"/>
  </r>
  <r>
    <x v="4"/>
    <x v="0"/>
    <x v="4"/>
    <x v="16"/>
    <x v="9"/>
    <x v="2"/>
    <n v="43.22"/>
    <n v="2.2400000000000002"/>
    <x v="7"/>
    <s v="DOMINIO"/>
    <x v="0"/>
    <m/>
    <m/>
    <n v="2863"/>
    <n v="2576.7000000000003"/>
    <n v="2898.7874999999999"/>
  </r>
  <r>
    <x v="4"/>
    <x v="0"/>
    <x v="5"/>
    <x v="238"/>
    <x v="4"/>
    <x v="0"/>
    <n v="46.58"/>
    <n v="2.2400000000000002"/>
    <x v="5"/>
    <s v="DOMINIO"/>
    <x v="0"/>
    <m/>
    <m/>
    <n v="2998"/>
    <n v="2698.2000000000003"/>
    <n v="3035.4749999999999"/>
  </r>
  <r>
    <x v="4"/>
    <x v="0"/>
    <x v="5"/>
    <x v="15"/>
    <x v="9"/>
    <x v="2"/>
    <n v="46.18"/>
    <n v="2.2400000000000002"/>
    <x v="7"/>
    <s v="DOMINIO"/>
    <x v="1"/>
    <m/>
    <m/>
    <n v="2986"/>
    <n v="2687.4"/>
    <n v="3023.3249999999998"/>
  </r>
  <r>
    <x v="4"/>
    <x v="0"/>
    <x v="5"/>
    <x v="338"/>
    <x v="5"/>
    <x v="0"/>
    <n v="46.58"/>
    <n v="2.2400000000000002"/>
    <x v="6"/>
    <s v="DOMINIO"/>
    <x v="0"/>
    <m/>
    <m/>
    <n v="2963"/>
    <n v="2666.7000000000003"/>
    <n v="3000.0374999999999"/>
  </r>
  <r>
    <x v="4"/>
    <x v="1"/>
    <x v="6"/>
    <x v="105"/>
    <x v="20"/>
    <x v="2"/>
    <n v="8.93"/>
    <n v="0"/>
    <x v="4"/>
    <s v="DOMINIO"/>
    <x v="1"/>
    <s v="E - 75 B"/>
    <m/>
    <n v="100"/>
    <n v="100"/>
    <n v="112.5"/>
  </r>
  <r>
    <x v="4"/>
    <x v="1"/>
    <x v="6"/>
    <x v="165"/>
    <x v="20"/>
    <x v="2"/>
    <n v="4.84"/>
    <n v="0"/>
    <x v="4"/>
    <s v="DOMINIO"/>
    <x v="0"/>
    <s v="E - 70 B"/>
    <m/>
    <n v="70"/>
    <n v="70"/>
    <n v="78.75"/>
  </r>
  <r>
    <x v="4"/>
    <x v="1"/>
    <x v="6"/>
    <x v="119"/>
    <x v="20"/>
    <x v="2"/>
    <n v="5.36"/>
    <n v="0"/>
    <x v="4"/>
    <s v="DOMINIO"/>
    <x v="0"/>
    <s v="E - 92 B"/>
    <m/>
    <n v="80"/>
    <n v="80"/>
    <n v="90"/>
  </r>
  <r>
    <x v="4"/>
    <x v="1"/>
    <x v="6"/>
    <x v="121"/>
    <x v="20"/>
    <x v="2"/>
    <n v="3.6"/>
    <n v="0"/>
    <x v="4"/>
    <s v="DOMINIO"/>
    <x v="1"/>
    <s v="E - 55 B"/>
    <m/>
    <n v="50"/>
    <n v="50"/>
    <n v="56.25"/>
  </r>
  <r>
    <x v="4"/>
    <x v="1"/>
    <x v="6"/>
    <x v="122"/>
    <x v="20"/>
    <x v="2"/>
    <n v="8.91"/>
    <n v="0"/>
    <x v="4"/>
    <s v="DOMINIO"/>
    <x v="0"/>
    <s v="E - 110 B"/>
    <m/>
    <n v="100"/>
    <n v="100"/>
    <n v="112.5"/>
  </r>
  <r>
    <x v="4"/>
    <x v="2"/>
    <x v="7"/>
    <x v="103"/>
    <x v="6"/>
    <x v="2"/>
    <n v="12.5"/>
    <n v="0"/>
    <x v="9"/>
    <s v="USO Y GOCE"/>
    <x v="2"/>
    <m/>
    <s v="Assetplan - Asociado Dpto 314A"/>
    <n v="350"/>
    <n v="350"/>
    <n v="393.75"/>
  </r>
  <r>
    <x v="4"/>
    <x v="2"/>
    <x v="7"/>
    <x v="103"/>
    <x v="6"/>
    <x v="4"/>
    <n v="18"/>
    <n v="0"/>
    <x v="9"/>
    <s v="USO Y GOCE"/>
    <x v="0"/>
    <m/>
    <m/>
    <n v="350"/>
    <n v="350"/>
    <n v="393.75"/>
  </r>
  <r>
    <x v="4"/>
    <x v="2"/>
    <x v="7"/>
    <x v="103"/>
    <x v="6"/>
    <x v="0"/>
    <n v="12.5"/>
    <n v="0"/>
    <x v="9"/>
    <s v="USO Y GOCE"/>
    <x v="0"/>
    <m/>
    <m/>
    <n v="350"/>
    <n v="350"/>
    <n v="393.75"/>
  </r>
  <r>
    <x v="4"/>
    <x v="2"/>
    <x v="7"/>
    <x v="104"/>
    <x v="6"/>
    <x v="2"/>
    <n v="12.5"/>
    <n v="0"/>
    <x v="9"/>
    <s v="USO Y GOCE"/>
    <x v="2"/>
    <m/>
    <s v="Assetplan - Asociado Dpto 410A"/>
    <n v="350"/>
    <n v="350"/>
    <n v="393.75"/>
  </r>
  <r>
    <x v="4"/>
    <x v="2"/>
    <x v="7"/>
    <x v="105"/>
    <x v="6"/>
    <x v="2"/>
    <n v="12.5"/>
    <n v="0"/>
    <x v="9"/>
    <s v="USO Y GOCE"/>
    <x v="2"/>
    <m/>
    <s v="Assetplan - Asociado Dpto 801A"/>
    <n v="350"/>
    <n v="350"/>
    <n v="393.75"/>
  </r>
  <r>
    <x v="4"/>
    <x v="2"/>
    <x v="7"/>
    <x v="106"/>
    <x v="6"/>
    <x v="2"/>
    <n v="12.5"/>
    <n v="0"/>
    <x v="9"/>
    <s v="USO Y GOCE"/>
    <x v="2"/>
    <m/>
    <s v="Assetplan - Asociado Dpto 901A"/>
    <n v="350"/>
    <n v="350"/>
    <n v="393.75"/>
  </r>
  <r>
    <x v="4"/>
    <x v="2"/>
    <x v="7"/>
    <x v="106"/>
    <x v="6"/>
    <x v="4"/>
    <n v="12.5"/>
    <n v="0"/>
    <x v="9"/>
    <s v="USO Y GOCE"/>
    <x v="0"/>
    <m/>
    <m/>
    <n v="350"/>
    <n v="350"/>
    <n v="393.75"/>
  </r>
  <r>
    <x v="4"/>
    <x v="2"/>
    <x v="7"/>
    <x v="107"/>
    <x v="6"/>
    <x v="2"/>
    <n v="12.5"/>
    <n v="0"/>
    <x v="9"/>
    <s v="USO Y GOCE"/>
    <x v="2"/>
    <m/>
    <s v="Assetplan - Asociado Dpto 904A"/>
    <n v="350"/>
    <n v="350"/>
    <n v="393.75"/>
  </r>
  <r>
    <x v="4"/>
    <x v="2"/>
    <x v="7"/>
    <x v="107"/>
    <x v="6"/>
    <x v="4"/>
    <n v="12.5"/>
    <n v="0"/>
    <x v="9"/>
    <s v="USO Y GOCE"/>
    <x v="0"/>
    <m/>
    <m/>
    <n v="350"/>
    <n v="350"/>
    <n v="393.75"/>
  </r>
  <r>
    <x v="4"/>
    <x v="2"/>
    <x v="7"/>
    <x v="273"/>
    <x v="6"/>
    <x v="4"/>
    <n v="12.5"/>
    <n v="0"/>
    <x v="9"/>
    <s v="USO Y GOCE"/>
    <x v="0"/>
    <m/>
    <m/>
    <n v="350"/>
    <n v="350"/>
    <n v="393.75"/>
  </r>
  <r>
    <x v="4"/>
    <x v="2"/>
    <x v="7"/>
    <x v="108"/>
    <x v="6"/>
    <x v="4"/>
    <n v="12.5"/>
    <n v="0"/>
    <x v="9"/>
    <s v="USO Y GOCE"/>
    <x v="0"/>
    <m/>
    <m/>
    <n v="350"/>
    <n v="350"/>
    <n v="393.75"/>
  </r>
  <r>
    <x v="4"/>
    <x v="2"/>
    <x v="7"/>
    <x v="108"/>
    <x v="6"/>
    <x v="0"/>
    <n v="12.5"/>
    <n v="0"/>
    <x v="9"/>
    <s v="USO Y GOCE"/>
    <x v="0"/>
    <m/>
    <m/>
    <n v="350"/>
    <n v="350"/>
    <n v="393.75"/>
  </r>
  <r>
    <x v="4"/>
    <x v="2"/>
    <x v="7"/>
    <x v="109"/>
    <x v="6"/>
    <x v="2"/>
    <n v="12.5"/>
    <n v="0"/>
    <x v="9"/>
    <s v="USO Y GOCE"/>
    <x v="2"/>
    <m/>
    <s v="Assetplan - Asociado Dpto 915A"/>
    <n v="350"/>
    <n v="350"/>
    <n v="393.75"/>
  </r>
  <r>
    <x v="4"/>
    <x v="2"/>
    <x v="7"/>
    <x v="165"/>
    <x v="6"/>
    <x v="2"/>
    <n v="12.5"/>
    <n v="0"/>
    <x v="9"/>
    <s v="USO Y GOCE"/>
    <x v="2"/>
    <m/>
    <s v="Assetplan - Asociado Dpto 1001A"/>
    <n v="350"/>
    <n v="350"/>
    <n v="393.75"/>
  </r>
  <r>
    <x v="4"/>
    <x v="2"/>
    <x v="7"/>
    <x v="110"/>
    <x v="6"/>
    <x v="0"/>
    <n v="12.5"/>
    <n v="0"/>
    <x v="9"/>
    <s v="USO Y GOCE"/>
    <x v="0"/>
    <m/>
    <m/>
    <n v="350"/>
    <n v="350"/>
    <n v="393.75"/>
  </r>
  <r>
    <x v="4"/>
    <x v="2"/>
    <x v="7"/>
    <x v="111"/>
    <x v="6"/>
    <x v="0"/>
    <n v="12.5"/>
    <n v="0"/>
    <x v="9"/>
    <s v="USO Y GOCE"/>
    <x v="0"/>
    <m/>
    <m/>
    <n v="350"/>
    <n v="350"/>
    <n v="393.75"/>
  </r>
  <r>
    <x v="4"/>
    <x v="2"/>
    <x v="7"/>
    <x v="112"/>
    <x v="6"/>
    <x v="2"/>
    <n v="12.5"/>
    <n v="0"/>
    <x v="9"/>
    <s v="USO Y GOCE"/>
    <x v="2"/>
    <m/>
    <s v="Assetplan - Asociado Dpto 1005A"/>
    <n v="350"/>
    <n v="350"/>
    <n v="393.75"/>
  </r>
  <r>
    <x v="4"/>
    <x v="2"/>
    <x v="7"/>
    <x v="112"/>
    <x v="6"/>
    <x v="0"/>
    <n v="12.5"/>
    <n v="0"/>
    <x v="9"/>
    <s v="USO Y GOCE"/>
    <x v="0"/>
    <m/>
    <m/>
    <n v="350"/>
    <n v="350"/>
    <n v="393.75"/>
  </r>
  <r>
    <x v="4"/>
    <x v="2"/>
    <x v="7"/>
    <x v="113"/>
    <x v="6"/>
    <x v="2"/>
    <n v="12.5"/>
    <n v="0"/>
    <x v="9"/>
    <s v="USO Y GOCE"/>
    <x v="2"/>
    <m/>
    <s v="Assetplan - Asociado Dpto 1010A"/>
    <n v="350"/>
    <n v="350"/>
    <n v="393.75"/>
  </r>
  <r>
    <x v="4"/>
    <x v="2"/>
    <x v="7"/>
    <x v="113"/>
    <x v="6"/>
    <x v="0"/>
    <n v="12.5"/>
    <n v="0"/>
    <x v="9"/>
    <s v="USO Y GOCE"/>
    <x v="0"/>
    <m/>
    <m/>
    <n v="350"/>
    <n v="350"/>
    <n v="393.75"/>
  </r>
  <r>
    <x v="4"/>
    <x v="2"/>
    <x v="7"/>
    <x v="114"/>
    <x v="6"/>
    <x v="2"/>
    <n v="12.5"/>
    <n v="0"/>
    <x v="9"/>
    <s v="USO Y GOCE"/>
    <x v="2"/>
    <m/>
    <s v="Assetplan - Asociado Dpto 1015A"/>
    <n v="350"/>
    <n v="350"/>
    <n v="393.75"/>
  </r>
  <r>
    <x v="4"/>
    <x v="2"/>
    <x v="7"/>
    <x v="114"/>
    <x v="6"/>
    <x v="0"/>
    <n v="12.5"/>
    <n v="0"/>
    <x v="9"/>
    <s v="USO Y GOCE"/>
    <x v="0"/>
    <m/>
    <m/>
    <n v="350"/>
    <n v="350"/>
    <n v="393.75"/>
  </r>
  <r>
    <x v="4"/>
    <x v="2"/>
    <x v="7"/>
    <x v="115"/>
    <x v="6"/>
    <x v="2"/>
    <n v="12.5"/>
    <n v="0"/>
    <x v="9"/>
    <s v="USO Y GOCE"/>
    <x v="2"/>
    <m/>
    <s v="Assetplan - Asociado Dpto 504B"/>
    <n v="350"/>
    <n v="350"/>
    <n v="393.75"/>
  </r>
  <r>
    <x v="4"/>
    <x v="2"/>
    <x v="7"/>
    <x v="115"/>
    <x v="6"/>
    <x v="0"/>
    <n v="12.5"/>
    <n v="0"/>
    <x v="9"/>
    <s v="USO Y GOCE"/>
    <x v="0"/>
    <m/>
    <m/>
    <n v="350"/>
    <n v="350"/>
    <n v="393.75"/>
  </r>
  <r>
    <x v="4"/>
    <x v="2"/>
    <x v="7"/>
    <x v="116"/>
    <x v="6"/>
    <x v="2"/>
    <n v="12.5"/>
    <n v="0"/>
    <x v="9"/>
    <s v="USO Y GOCE"/>
    <x v="2"/>
    <m/>
    <s v="Assetplan - Asociado Dpto 608B"/>
    <n v="350"/>
    <n v="350"/>
    <n v="393.75"/>
  </r>
  <r>
    <x v="4"/>
    <x v="2"/>
    <x v="7"/>
    <x v="116"/>
    <x v="6"/>
    <x v="0"/>
    <n v="12.5"/>
    <n v="0"/>
    <x v="9"/>
    <s v="USO Y GOCE"/>
    <x v="0"/>
    <m/>
    <m/>
    <n v="350"/>
    <n v="350"/>
    <n v="393.75"/>
  </r>
  <r>
    <x v="4"/>
    <x v="2"/>
    <x v="7"/>
    <x v="117"/>
    <x v="6"/>
    <x v="0"/>
    <n v="12.5"/>
    <n v="0"/>
    <x v="9"/>
    <s v="USO Y GOCE"/>
    <x v="0"/>
    <m/>
    <m/>
    <n v="350"/>
    <n v="350"/>
    <n v="393.75"/>
  </r>
  <r>
    <x v="4"/>
    <x v="2"/>
    <x v="7"/>
    <x v="166"/>
    <x v="6"/>
    <x v="0"/>
    <n v="12.5"/>
    <n v="0"/>
    <x v="9"/>
    <s v="USO Y GOCE"/>
    <x v="0"/>
    <m/>
    <m/>
    <n v="350"/>
    <n v="350"/>
    <n v="393.75"/>
  </r>
  <r>
    <x v="4"/>
    <x v="2"/>
    <x v="7"/>
    <x v="118"/>
    <x v="6"/>
    <x v="2"/>
    <n v="12.5"/>
    <n v="0"/>
    <x v="9"/>
    <s v="USO Y GOCE"/>
    <x v="2"/>
    <m/>
    <s v="Assetplan - Asociado Dpto 704B"/>
    <n v="350"/>
    <n v="350"/>
    <n v="393.75"/>
  </r>
  <r>
    <x v="4"/>
    <x v="2"/>
    <x v="7"/>
    <x v="118"/>
    <x v="6"/>
    <x v="0"/>
    <n v="12.5"/>
    <n v="0"/>
    <x v="9"/>
    <s v="USO Y GOCE"/>
    <x v="0"/>
    <m/>
    <m/>
    <n v="350"/>
    <n v="350"/>
    <n v="393.75"/>
  </r>
  <r>
    <x v="4"/>
    <x v="2"/>
    <x v="7"/>
    <x v="119"/>
    <x v="6"/>
    <x v="0"/>
    <n v="12.5"/>
    <n v="0"/>
    <x v="9"/>
    <s v="USO Y GOCE"/>
    <x v="0"/>
    <m/>
    <m/>
    <n v="350"/>
    <n v="350"/>
    <n v="393.75"/>
  </r>
  <r>
    <x v="4"/>
    <x v="2"/>
    <x v="7"/>
    <x v="120"/>
    <x v="6"/>
    <x v="2"/>
    <n v="12.5"/>
    <n v="0"/>
    <x v="9"/>
    <s v="USO Y GOCE"/>
    <x v="2"/>
    <m/>
    <s v="Assetplan - Asociado Dpto 804B"/>
    <n v="350"/>
    <n v="350"/>
    <n v="393.75"/>
  </r>
  <r>
    <x v="4"/>
    <x v="2"/>
    <x v="7"/>
    <x v="120"/>
    <x v="6"/>
    <x v="0"/>
    <n v="12.5"/>
    <n v="0"/>
    <x v="9"/>
    <s v="USO Y GOCE"/>
    <x v="0"/>
    <m/>
    <m/>
    <n v="350"/>
    <n v="350"/>
    <n v="393.75"/>
  </r>
  <r>
    <x v="4"/>
    <x v="2"/>
    <x v="7"/>
    <x v="275"/>
    <x v="6"/>
    <x v="2"/>
    <n v="12.5"/>
    <n v="0"/>
    <x v="9"/>
    <s v="USO Y GOCE"/>
    <x v="2"/>
    <m/>
    <s v="Assetplan - Asociado Dpto 809B"/>
    <n v="350"/>
    <n v="350"/>
    <n v="393.75"/>
  </r>
  <r>
    <x v="4"/>
    <x v="2"/>
    <x v="7"/>
    <x v="275"/>
    <x v="6"/>
    <x v="0"/>
    <n v="12.5"/>
    <n v="0"/>
    <x v="9"/>
    <s v="USO Y GOCE"/>
    <x v="0"/>
    <m/>
    <m/>
    <n v="350"/>
    <n v="350"/>
    <n v="393.75"/>
  </r>
  <r>
    <x v="4"/>
    <x v="2"/>
    <x v="7"/>
    <x v="121"/>
    <x v="6"/>
    <x v="2"/>
    <n v="12.5"/>
    <n v="0"/>
    <x v="9"/>
    <s v="USO Y GOCE"/>
    <x v="2"/>
    <m/>
    <s v="Assetplan - Asociado Dpto 814B"/>
    <n v="350"/>
    <n v="350"/>
    <n v="393.75"/>
  </r>
  <r>
    <x v="4"/>
    <x v="2"/>
    <x v="7"/>
    <x v="122"/>
    <x v="6"/>
    <x v="2"/>
    <n v="12.5"/>
    <n v="0"/>
    <x v="9"/>
    <s v="USO Y GOCE"/>
    <x v="2"/>
    <m/>
    <s v="Assetplan - Asociado Dpto 909B"/>
    <n v="350"/>
    <n v="350"/>
    <n v="393.75"/>
  </r>
  <r>
    <x v="4"/>
    <x v="2"/>
    <x v="7"/>
    <x v="123"/>
    <x v="6"/>
    <x v="2"/>
    <n v="12.5"/>
    <n v="0"/>
    <x v="9"/>
    <s v="USO Y GOCE"/>
    <x v="2"/>
    <m/>
    <s v="Assetplan - Asociado Dpto 1008B"/>
    <n v="350"/>
    <n v="350"/>
    <n v="393.75"/>
  </r>
  <r>
    <x v="4"/>
    <x v="2"/>
    <x v="7"/>
    <x v="167"/>
    <x v="6"/>
    <x v="2"/>
    <n v="12.5"/>
    <n v="0"/>
    <x v="9"/>
    <s v="USO Y GOCE"/>
    <x v="2"/>
    <m/>
    <s v="Assetplan - Asociado Dpto 815A"/>
    <n v="350"/>
    <n v="350"/>
    <n v="393.75"/>
  </r>
  <r>
    <x v="4"/>
    <x v="2"/>
    <x v="7"/>
    <x v="124"/>
    <x v="6"/>
    <x v="2"/>
    <n v="12.5"/>
    <n v="0"/>
    <x v="9"/>
    <s v="USO Y GOCE"/>
    <x v="2"/>
    <m/>
    <s v="Assetplan - Asociado Dpto 615A"/>
    <n v="350"/>
    <n v="350"/>
    <n v="393.75"/>
  </r>
  <r>
    <x v="4"/>
    <x v="2"/>
    <x v="7"/>
    <x v="125"/>
    <x v="6"/>
    <x v="2"/>
    <n v="12.5"/>
    <n v="0"/>
    <x v="9"/>
    <s v="USO Y GOCE"/>
    <x v="2"/>
    <m/>
    <s v="Assetplan - Asociado Dpto 501B"/>
    <n v="350"/>
    <n v="350"/>
    <n v="393.75"/>
  </r>
  <r>
    <x v="4"/>
    <x v="2"/>
    <x v="7"/>
    <x v="127"/>
    <x v="6"/>
    <x v="2"/>
    <n v="12.5"/>
    <n v="0"/>
    <x v="9"/>
    <s v="USO Y GOCE"/>
    <x v="2"/>
    <m/>
    <s v="Assetplan - Asociado Dpto 808B"/>
    <n v="350"/>
    <n v="350"/>
    <n v="393.75"/>
  </r>
  <r>
    <x v="4"/>
    <x v="2"/>
    <x v="7"/>
    <x v="129"/>
    <x v="20"/>
    <x v="0"/>
    <n v="12.5"/>
    <n v="0"/>
    <x v="4"/>
    <s v="DOMINIO"/>
    <x v="1"/>
    <m/>
    <m/>
    <n v="350"/>
    <n v="350"/>
    <n v="393.75"/>
  </r>
  <r>
    <x v="4"/>
    <x v="2"/>
    <x v="7"/>
    <x v="131"/>
    <x v="20"/>
    <x v="2"/>
    <n v="12.5"/>
    <n v="0"/>
    <x v="4"/>
    <s v="DOMINIO"/>
    <x v="2"/>
    <m/>
    <s v="Assetplan - Asociado Dpto 1001B"/>
    <n v="350"/>
    <n v="350"/>
    <n v="393.75"/>
  </r>
  <r>
    <x v="4"/>
    <x v="2"/>
    <x v="7"/>
    <x v="135"/>
    <x v="20"/>
    <x v="0"/>
    <n v="12.5"/>
    <n v="0"/>
    <x v="4"/>
    <s v="DOMINIO"/>
    <x v="1"/>
    <m/>
    <m/>
    <n v="350"/>
    <n v="350"/>
    <n v="393.75"/>
  </r>
  <r>
    <x v="4"/>
    <x v="2"/>
    <x v="7"/>
    <x v="137"/>
    <x v="20"/>
    <x v="0"/>
    <n v="12.5"/>
    <n v="0"/>
    <x v="4"/>
    <s v="DOMINIO"/>
    <x v="0"/>
    <m/>
    <m/>
    <n v="350"/>
    <n v="350"/>
    <n v="393.75"/>
  </r>
  <r>
    <x v="4"/>
    <x v="2"/>
    <x v="7"/>
    <x v="139"/>
    <x v="20"/>
    <x v="2"/>
    <n v="12.5"/>
    <n v="0"/>
    <x v="4"/>
    <s v="DOMINIO"/>
    <x v="2"/>
    <m/>
    <s v="Assetplan - Asociado Dpto 515A"/>
    <n v="350"/>
    <n v="350"/>
    <n v="393.75"/>
  </r>
  <r>
    <x v="4"/>
    <x v="2"/>
    <x v="7"/>
    <x v="140"/>
    <x v="20"/>
    <x v="2"/>
    <n v="12.5"/>
    <n v="0"/>
    <x v="4"/>
    <s v="DOMINIO"/>
    <x v="2"/>
    <m/>
    <s v="Assetplan - Asociado Dpto 610A"/>
    <n v="350"/>
    <n v="350"/>
    <n v="393.75"/>
  </r>
  <r>
    <x v="4"/>
    <x v="2"/>
    <x v="7"/>
    <x v="141"/>
    <x v="20"/>
    <x v="0"/>
    <n v="12.5"/>
    <n v="0"/>
    <x v="4"/>
    <s v="DOMINIO"/>
    <x v="1"/>
    <m/>
    <m/>
    <n v="350"/>
    <n v="350"/>
    <n v="393.75"/>
  </r>
  <r>
    <x v="4"/>
    <x v="2"/>
    <x v="7"/>
    <x v="142"/>
    <x v="20"/>
    <x v="2"/>
    <n v="12.5"/>
    <n v="0"/>
    <x v="4"/>
    <s v="DOMINIO"/>
    <x v="1"/>
    <m/>
    <m/>
    <n v="350"/>
    <n v="350"/>
    <n v="393.75"/>
  </r>
  <r>
    <x v="4"/>
    <x v="2"/>
    <x v="7"/>
    <x v="143"/>
    <x v="20"/>
    <x v="2"/>
    <n v="12.5"/>
    <n v="0"/>
    <x v="4"/>
    <s v="DOMINIO"/>
    <x v="2"/>
    <m/>
    <s v="Assetplan - Asociado Dpto 308B"/>
    <n v="350"/>
    <n v="350"/>
    <n v="393.75"/>
  </r>
  <r>
    <x v="4"/>
    <x v="2"/>
    <x v="7"/>
    <x v="144"/>
    <x v="20"/>
    <x v="2"/>
    <n v="12.5"/>
    <n v="0"/>
    <x v="4"/>
    <s v="DOMINIO"/>
    <x v="2"/>
    <m/>
    <s v="Assetplan - Asociado Dpto 401B"/>
    <n v="350"/>
    <n v="350"/>
    <n v="393.75"/>
  </r>
  <r>
    <x v="4"/>
    <x v="2"/>
    <x v="7"/>
    <x v="145"/>
    <x v="20"/>
    <x v="2"/>
    <n v="12.5"/>
    <n v="0"/>
    <x v="4"/>
    <s v="DOMINIO"/>
    <x v="0"/>
    <m/>
    <m/>
    <n v="350"/>
    <n v="350"/>
    <n v="393.75"/>
  </r>
  <r>
    <x v="4"/>
    <x v="2"/>
    <x v="7"/>
    <x v="168"/>
    <x v="20"/>
    <x v="2"/>
    <n v="12.5"/>
    <n v="0"/>
    <x v="4"/>
    <s v="DOMINIO"/>
    <x v="2"/>
    <m/>
    <s v="Assetplan - Asociado Dpto 708B"/>
    <n v="350"/>
    <n v="350"/>
    <n v="393.75"/>
  </r>
  <r>
    <x v="4"/>
    <x v="2"/>
    <x v="7"/>
    <x v="397"/>
    <x v="20"/>
    <x v="2"/>
    <n v="12.5"/>
    <n v="0"/>
    <x v="4"/>
    <s v="DOMINIO"/>
    <x v="0"/>
    <m/>
    <m/>
    <n v="350"/>
    <n v="350"/>
    <n v="393.75"/>
  </r>
  <r>
    <x v="4"/>
    <x v="2"/>
    <x v="7"/>
    <x v="170"/>
    <x v="20"/>
    <x v="2"/>
    <n v="12.5"/>
    <n v="0"/>
    <x v="4"/>
    <s v="DOMINIO"/>
    <x v="1"/>
    <s v="B - 24 B"/>
    <m/>
    <n v="350"/>
    <n v="350"/>
    <n v="393.75"/>
  </r>
  <r>
    <x v="4"/>
    <x v="2"/>
    <x v="7"/>
    <x v="399"/>
    <x v="20"/>
    <x v="2"/>
    <n v="12.5"/>
    <n v="0"/>
    <x v="4"/>
    <s v="DOMINIO"/>
    <x v="0"/>
    <m/>
    <m/>
    <n v="350"/>
    <n v="350"/>
    <n v="393.75"/>
  </r>
  <r>
    <x v="4"/>
    <x v="2"/>
    <x v="7"/>
    <x v="172"/>
    <x v="20"/>
    <x v="2"/>
    <n v="12.5"/>
    <n v="0"/>
    <x v="4"/>
    <s v="DOMINIO"/>
    <x v="0"/>
    <m/>
    <m/>
    <n v="350"/>
    <n v="350"/>
    <n v="393.75"/>
  </r>
  <r>
    <x v="4"/>
    <x v="2"/>
    <x v="7"/>
    <x v="174"/>
    <x v="20"/>
    <x v="2"/>
    <n v="12.5"/>
    <n v="0"/>
    <x v="6"/>
    <s v="DOMINIO"/>
    <x v="0"/>
    <m/>
    <m/>
    <n v="350"/>
    <n v="350"/>
    <n v="393.75"/>
  </r>
  <r>
    <x v="4"/>
    <x v="2"/>
    <x v="7"/>
    <x v="150"/>
    <x v="20"/>
    <x v="2"/>
    <n v="12.5"/>
    <n v="0"/>
    <x v="4"/>
    <s v="DOMINIO"/>
    <x v="0"/>
    <m/>
    <m/>
    <n v="394"/>
    <n v="394"/>
    <n v="443.25"/>
  </r>
  <r>
    <x v="4"/>
    <x v="2"/>
    <x v="7"/>
    <x v="151"/>
    <x v="20"/>
    <x v="2"/>
    <n v="12.5"/>
    <n v="0"/>
    <x v="4"/>
    <s v="DOMINIO"/>
    <x v="0"/>
    <m/>
    <m/>
    <n v="350"/>
    <n v="350"/>
    <n v="393.75"/>
  </r>
  <r>
    <x v="4"/>
    <x v="2"/>
    <x v="7"/>
    <x v="152"/>
    <x v="20"/>
    <x v="2"/>
    <n v="12.5"/>
    <n v="0"/>
    <x v="4"/>
    <s v="DOMINIO"/>
    <x v="0"/>
    <m/>
    <m/>
    <n v="350"/>
    <n v="350"/>
    <n v="393.75"/>
  </r>
  <r>
    <x v="4"/>
    <x v="2"/>
    <x v="7"/>
    <x v="153"/>
    <x v="20"/>
    <x v="2"/>
    <n v="12.5"/>
    <n v="0"/>
    <x v="4"/>
    <s v="DOMINIO"/>
    <x v="0"/>
    <s v="B - 9 B"/>
    <m/>
    <n v="350"/>
    <n v="350"/>
    <n v="393.75"/>
  </r>
  <r>
    <x v="4"/>
    <x v="2"/>
    <x v="7"/>
    <x v="156"/>
    <x v="20"/>
    <x v="2"/>
    <n v="12.5"/>
    <n v="0"/>
    <x v="4"/>
    <s v="DOMINIO"/>
    <x v="0"/>
    <m/>
    <m/>
    <n v="350"/>
    <n v="350"/>
    <n v="393.75"/>
  </r>
  <r>
    <x v="4"/>
    <x v="2"/>
    <x v="7"/>
    <x v="157"/>
    <x v="20"/>
    <x v="2"/>
    <n v="12.5"/>
    <n v="0"/>
    <x v="4"/>
    <s v="DOMINIO"/>
    <x v="1"/>
    <s v="B - 3 B"/>
    <m/>
    <n v="350"/>
    <n v="350"/>
    <n v="393.75"/>
  </r>
  <r>
    <x v="4"/>
    <x v="2"/>
    <x v="7"/>
    <x v="158"/>
    <x v="20"/>
    <x v="2"/>
    <n v="12.5"/>
    <n v="0"/>
    <x v="4"/>
    <s v="DOMINIO"/>
    <x v="0"/>
    <m/>
    <m/>
    <n v="350"/>
    <n v="350"/>
    <n v="393.75"/>
  </r>
  <r>
    <x v="4"/>
    <x v="2"/>
    <x v="7"/>
    <x v="163"/>
    <x v="20"/>
    <x v="2"/>
    <n v="12.5"/>
    <n v="0"/>
    <x v="4"/>
    <s v="DOMINIO"/>
    <x v="0"/>
    <m/>
    <m/>
    <n v="350"/>
    <n v="350"/>
    <n v="393.75"/>
  </r>
  <r>
    <x v="4"/>
    <x v="2"/>
    <x v="7"/>
    <x v="534"/>
    <x v="20"/>
    <x v="2"/>
    <n v="12.5"/>
    <n v="0"/>
    <x v="6"/>
    <s v="DOMINIO"/>
    <x v="0"/>
    <m/>
    <m/>
    <n v="350"/>
    <n v="350"/>
    <n v="393.75"/>
  </r>
  <r>
    <x v="4"/>
    <x v="2"/>
    <x v="7"/>
    <x v="535"/>
    <x v="20"/>
    <x v="2"/>
    <n v="12.5"/>
    <n v="0"/>
    <x v="6"/>
    <s v="DOMINIO"/>
    <x v="0"/>
    <m/>
    <m/>
    <n v="350"/>
    <n v="350"/>
    <n v="393.75"/>
  </r>
  <r>
    <x v="4"/>
    <x v="2"/>
    <x v="7"/>
    <x v="184"/>
    <x v="20"/>
    <x v="2"/>
    <n v="12.5"/>
    <n v="0"/>
    <x v="4"/>
    <s v="DOMINIO"/>
    <x v="0"/>
    <s v="B - 21 B"/>
    <m/>
    <n v="350"/>
    <n v="350"/>
    <n v="393.75"/>
  </r>
  <r>
    <x v="4"/>
    <x v="2"/>
    <x v="7"/>
    <x v="185"/>
    <x v="20"/>
    <x v="2"/>
    <n v="12.5"/>
    <n v="0"/>
    <x v="4"/>
    <s v="DOMINIO"/>
    <x v="0"/>
    <m/>
    <m/>
    <n v="350"/>
    <n v="350"/>
    <n v="393.75"/>
  </r>
  <r>
    <x v="4"/>
    <x v="2"/>
    <x v="7"/>
    <x v="186"/>
    <x v="20"/>
    <x v="2"/>
    <n v="12.5"/>
    <n v="0"/>
    <x v="4"/>
    <s v="DOMINIO"/>
    <x v="0"/>
    <m/>
    <m/>
    <n v="350"/>
    <n v="350"/>
    <n v="393.75"/>
  </r>
  <r>
    <x v="4"/>
    <x v="2"/>
    <x v="7"/>
    <x v="187"/>
    <x v="20"/>
    <x v="2"/>
    <n v="12.5"/>
    <n v="0"/>
    <x v="4"/>
    <s v="DOMINIO"/>
    <x v="0"/>
    <m/>
    <m/>
    <n v="350"/>
    <n v="350"/>
    <n v="393.75"/>
  </r>
  <r>
    <x v="4"/>
    <x v="2"/>
    <x v="7"/>
    <x v="188"/>
    <x v="20"/>
    <x v="2"/>
    <n v="12.5"/>
    <n v="0"/>
    <x v="4"/>
    <s v="DOMINIO"/>
    <x v="0"/>
    <m/>
    <m/>
    <n v="350"/>
    <n v="350"/>
    <n v="393.75"/>
  </r>
  <r>
    <x v="4"/>
    <x v="2"/>
    <x v="7"/>
    <x v="189"/>
    <x v="20"/>
    <x v="2"/>
    <n v="12.5"/>
    <n v="0"/>
    <x v="4"/>
    <s v="DOMINIO"/>
    <x v="0"/>
    <m/>
    <m/>
    <n v="350"/>
    <n v="350"/>
    <n v="393.75"/>
  </r>
  <r>
    <x v="4"/>
    <x v="2"/>
    <x v="7"/>
    <x v="190"/>
    <x v="20"/>
    <x v="2"/>
    <n v="12.5"/>
    <n v="0"/>
    <x v="4"/>
    <s v="DOMINIO"/>
    <x v="0"/>
    <m/>
    <m/>
    <n v="350"/>
    <n v="350"/>
    <n v="393.75"/>
  </r>
  <r>
    <x v="4"/>
    <x v="2"/>
    <x v="7"/>
    <x v="191"/>
    <x v="20"/>
    <x v="2"/>
    <n v="12.5"/>
    <n v="0"/>
    <x v="4"/>
    <s v="DOMINIO"/>
    <x v="0"/>
    <m/>
    <m/>
    <n v="350"/>
    <n v="350"/>
    <n v="393.75"/>
  </r>
  <r>
    <x v="4"/>
    <x v="2"/>
    <x v="7"/>
    <x v="193"/>
    <x v="20"/>
    <x v="2"/>
    <n v="12.5"/>
    <n v="0"/>
    <x v="4"/>
    <s v="DOMINIO"/>
    <x v="0"/>
    <m/>
    <m/>
    <n v="350"/>
    <n v="350"/>
    <n v="393.75"/>
  </r>
  <r>
    <x v="4"/>
    <x v="2"/>
    <x v="7"/>
    <x v="194"/>
    <x v="20"/>
    <x v="2"/>
    <n v="12.5"/>
    <n v="0"/>
    <x v="4"/>
    <s v="DOMINIO"/>
    <x v="0"/>
    <m/>
    <m/>
    <n v="350"/>
    <n v="350"/>
    <n v="393.75"/>
  </r>
  <r>
    <x v="4"/>
    <x v="2"/>
    <x v="7"/>
    <x v="195"/>
    <x v="20"/>
    <x v="2"/>
    <n v="12.5"/>
    <n v="0"/>
    <x v="4"/>
    <s v="DOMINIO"/>
    <x v="0"/>
    <m/>
    <m/>
    <n v="350"/>
    <n v="350"/>
    <n v="393.75"/>
  </r>
  <r>
    <x v="4"/>
    <x v="2"/>
    <x v="7"/>
    <x v="196"/>
    <x v="20"/>
    <x v="2"/>
    <n v="12.5"/>
    <n v="0"/>
    <x v="4"/>
    <s v="DOMINIO"/>
    <x v="0"/>
    <m/>
    <m/>
    <n v="350"/>
    <n v="350"/>
    <n v="393.75"/>
  </r>
  <r>
    <x v="4"/>
    <x v="2"/>
    <x v="7"/>
    <x v="197"/>
    <x v="20"/>
    <x v="2"/>
    <n v="12.5"/>
    <n v="0"/>
    <x v="4"/>
    <s v="DOMINIO"/>
    <x v="0"/>
    <m/>
    <m/>
    <n v="350"/>
    <n v="350"/>
    <n v="393.75"/>
  </r>
  <r>
    <x v="4"/>
    <x v="2"/>
    <x v="7"/>
    <x v="198"/>
    <x v="20"/>
    <x v="2"/>
    <n v="12.5"/>
    <n v="0"/>
    <x v="4"/>
    <s v="DOMINIO"/>
    <x v="0"/>
    <m/>
    <m/>
    <n v="350"/>
    <n v="350"/>
    <n v="393.75"/>
  </r>
  <r>
    <x v="4"/>
    <x v="2"/>
    <x v="7"/>
    <x v="201"/>
    <x v="20"/>
    <x v="2"/>
    <n v="12.5"/>
    <n v="0"/>
    <x v="4"/>
    <s v="DOMINIO"/>
    <x v="0"/>
    <s v="B - 25 B"/>
    <m/>
    <n v="350"/>
    <n v="350"/>
    <n v="393.75"/>
  </r>
  <r>
    <x v="4"/>
    <x v="2"/>
    <x v="7"/>
    <x v="202"/>
    <x v="20"/>
    <x v="2"/>
    <n v="12.5"/>
    <n v="0"/>
    <x v="4"/>
    <s v="DOMINIO"/>
    <x v="0"/>
    <m/>
    <m/>
    <n v="350"/>
    <n v="350"/>
    <n v="393.75"/>
  </r>
  <r>
    <x v="4"/>
    <x v="2"/>
    <x v="7"/>
    <x v="203"/>
    <x v="20"/>
    <x v="2"/>
    <n v="12.5"/>
    <n v="0"/>
    <x v="4"/>
    <s v="DOMINIO"/>
    <x v="0"/>
    <m/>
    <m/>
    <n v="350"/>
    <n v="350"/>
    <n v="393.75"/>
  </r>
  <r>
    <x v="4"/>
    <x v="4"/>
    <x v="9"/>
    <x v="106"/>
    <x v="6"/>
    <x v="0"/>
    <n v="52.34"/>
    <n v="0"/>
    <x v="4"/>
    <s v="DOMINIO"/>
    <x v="0"/>
    <m/>
    <m/>
    <n v="3993"/>
    <n v="3993"/>
    <n v="4492.1249999999991"/>
  </r>
  <r>
    <x v="4"/>
    <x v="4"/>
    <x v="9"/>
    <x v="107"/>
    <x v="6"/>
    <x v="0"/>
    <n v="41.97"/>
    <n v="0"/>
    <x v="4"/>
    <s v="DOMINIO"/>
    <x v="0"/>
    <m/>
    <m/>
    <n v="3214"/>
    <n v="3214"/>
    <n v="3615.7499999999995"/>
  </r>
  <r>
    <x v="4"/>
    <x v="4"/>
    <x v="9"/>
    <x v="273"/>
    <x v="6"/>
    <x v="0"/>
    <n v="42.07"/>
    <n v="0"/>
    <x v="4"/>
    <s v="DOMINIO"/>
    <x v="0"/>
    <m/>
    <m/>
    <n v="3214"/>
    <n v="3214"/>
    <n v="3615.7499999999995"/>
  </r>
  <r>
    <x v="4"/>
    <x v="4"/>
    <x v="9"/>
    <x v="108"/>
    <x v="6"/>
    <x v="0"/>
    <n v="37.79"/>
    <n v="0"/>
    <x v="4"/>
    <s v="DOMINIO"/>
    <x v="0"/>
    <m/>
    <m/>
    <n v="2884"/>
    <n v="2884"/>
    <n v="3244.4999999999995"/>
  </r>
  <r>
    <x v="5"/>
    <x v="0"/>
    <x v="3"/>
    <x v="372"/>
    <x v="0"/>
    <x v="0"/>
    <n v="36.9"/>
    <n v="2.2400000000000002"/>
    <x v="8"/>
    <s v="DOMINIO"/>
    <x v="0"/>
    <m/>
    <m/>
    <n v="2844"/>
    <n v="2474.2800000000002"/>
    <n v="2783.5650000000001"/>
  </r>
  <r>
    <x v="5"/>
    <x v="0"/>
    <x v="3"/>
    <x v="300"/>
    <x v="0"/>
    <x v="0"/>
    <n v="36.9"/>
    <n v="2.2400000000000002"/>
    <x v="7"/>
    <s v="DOMINIO"/>
    <x v="0"/>
    <m/>
    <m/>
    <n v="2820"/>
    <n v="2453.4"/>
    <n v="2760.0749999999998"/>
  </r>
  <r>
    <x v="5"/>
    <x v="0"/>
    <x v="3"/>
    <x v="280"/>
    <x v="4"/>
    <x v="0"/>
    <n v="36.9"/>
    <n v="2.2400000000000002"/>
    <x v="8"/>
    <s v="DOMINIO"/>
    <x v="0"/>
    <m/>
    <m/>
    <n v="2855"/>
    <n v="2483.85"/>
    <n v="2794.3312500000002"/>
  </r>
  <r>
    <x v="5"/>
    <x v="0"/>
    <x v="3"/>
    <x v="8"/>
    <x v="4"/>
    <x v="0"/>
    <n v="36.9"/>
    <n v="2.2400000000000002"/>
    <x v="8"/>
    <s v="DOMINIO"/>
    <x v="0"/>
    <m/>
    <m/>
    <n v="2855"/>
    <n v="2483.85"/>
    <n v="2794.3312500000002"/>
  </r>
  <r>
    <x v="5"/>
    <x v="0"/>
    <x v="3"/>
    <x v="357"/>
    <x v="4"/>
    <x v="0"/>
    <n v="36.9"/>
    <n v="2.2400000000000002"/>
    <x v="7"/>
    <s v="DOMINIO"/>
    <x v="0"/>
    <m/>
    <m/>
    <n v="2832"/>
    <n v="2463.84"/>
    <n v="2771.82"/>
  </r>
  <r>
    <x v="5"/>
    <x v="0"/>
    <x v="3"/>
    <x v="306"/>
    <x v="4"/>
    <x v="0"/>
    <n v="36.9"/>
    <n v="2.2400000000000002"/>
    <x v="7"/>
    <s v="DOMINIO"/>
    <x v="0"/>
    <m/>
    <m/>
    <n v="2832"/>
    <n v="2463.84"/>
    <n v="2771.82"/>
  </r>
  <r>
    <x v="5"/>
    <x v="0"/>
    <x v="3"/>
    <x v="309"/>
    <x v="4"/>
    <x v="0"/>
    <n v="36.9"/>
    <n v="2.2400000000000002"/>
    <x v="7"/>
    <s v="DOMINIO"/>
    <x v="0"/>
    <m/>
    <m/>
    <n v="2832"/>
    <n v="2463.84"/>
    <n v="2771.82"/>
  </r>
  <r>
    <x v="5"/>
    <x v="0"/>
    <x v="3"/>
    <x v="282"/>
    <x v="7"/>
    <x v="0"/>
    <n v="36.9"/>
    <n v="2.2400000000000002"/>
    <x v="8"/>
    <s v="DOMINIO"/>
    <x v="0"/>
    <m/>
    <m/>
    <n v="2867"/>
    <n v="2494.29"/>
    <n v="2806.0762499999996"/>
  </r>
  <r>
    <x v="5"/>
    <x v="0"/>
    <x v="3"/>
    <x v="377"/>
    <x v="7"/>
    <x v="0"/>
    <n v="36.9"/>
    <n v="2.2400000000000002"/>
    <x v="8"/>
    <s v="DOMINIO"/>
    <x v="0"/>
    <m/>
    <m/>
    <n v="2867"/>
    <n v="2494.29"/>
    <n v="2806.0762499999996"/>
  </r>
  <r>
    <x v="5"/>
    <x v="0"/>
    <x v="3"/>
    <x v="10"/>
    <x v="7"/>
    <x v="0"/>
    <n v="36.9"/>
    <n v="2.2400000000000002"/>
    <x v="7"/>
    <s v="DOMINIO"/>
    <x v="0"/>
    <m/>
    <m/>
    <n v="2844"/>
    <n v="2474.2800000000002"/>
    <n v="2783.5650000000001"/>
  </r>
  <r>
    <x v="5"/>
    <x v="0"/>
    <x v="3"/>
    <x v="314"/>
    <x v="7"/>
    <x v="0"/>
    <n v="36.9"/>
    <n v="2.2400000000000002"/>
    <x v="7"/>
    <s v="DOMINIO"/>
    <x v="0"/>
    <m/>
    <m/>
    <n v="2844"/>
    <n v="2474.2800000000002"/>
    <n v="2783.5650000000001"/>
  </r>
  <r>
    <x v="5"/>
    <x v="0"/>
    <x v="3"/>
    <x v="316"/>
    <x v="7"/>
    <x v="0"/>
    <n v="36.9"/>
    <n v="2.2400000000000002"/>
    <x v="7"/>
    <s v="DOMINIO"/>
    <x v="1"/>
    <m/>
    <m/>
    <n v="2844"/>
    <n v="2474.2800000000002"/>
    <n v="2783.5650000000001"/>
  </r>
  <r>
    <x v="5"/>
    <x v="0"/>
    <x v="3"/>
    <x v="284"/>
    <x v="8"/>
    <x v="0"/>
    <n v="36.9"/>
    <n v="2.2400000000000002"/>
    <x v="8"/>
    <s v="DOMINIO"/>
    <x v="0"/>
    <m/>
    <m/>
    <n v="2879"/>
    <n v="2504.73"/>
    <n v="2817.82125"/>
  </r>
  <r>
    <x v="5"/>
    <x v="0"/>
    <x v="3"/>
    <x v="379"/>
    <x v="8"/>
    <x v="0"/>
    <n v="36.9"/>
    <n v="2.2400000000000002"/>
    <x v="8"/>
    <s v="DOMINIO"/>
    <x v="0"/>
    <m/>
    <m/>
    <n v="2879"/>
    <n v="2504.73"/>
    <n v="2817.82125"/>
  </r>
  <r>
    <x v="5"/>
    <x v="0"/>
    <x v="3"/>
    <x v="285"/>
    <x v="8"/>
    <x v="0"/>
    <n v="36.9"/>
    <n v="2.2400000000000002"/>
    <x v="8"/>
    <s v="DOMINIO"/>
    <x v="0"/>
    <m/>
    <m/>
    <n v="2879"/>
    <n v="2504.73"/>
    <n v="2817.82125"/>
  </r>
  <r>
    <x v="5"/>
    <x v="0"/>
    <x v="3"/>
    <x v="12"/>
    <x v="8"/>
    <x v="0"/>
    <n v="36.9"/>
    <n v="2.2400000000000002"/>
    <x v="7"/>
    <s v="DOMINIO"/>
    <x v="0"/>
    <m/>
    <m/>
    <n v="2855"/>
    <n v="2483.85"/>
    <n v="2794.3312500000002"/>
  </r>
  <r>
    <x v="5"/>
    <x v="0"/>
    <x v="3"/>
    <x v="322"/>
    <x v="8"/>
    <x v="0"/>
    <n v="36.9"/>
    <n v="2.2400000000000002"/>
    <x v="7"/>
    <s v="DOMINIO"/>
    <x v="0"/>
    <m/>
    <m/>
    <n v="2855"/>
    <n v="2483.85"/>
    <n v="2794.3312500000002"/>
  </r>
  <r>
    <x v="5"/>
    <x v="0"/>
    <x v="3"/>
    <x v="14"/>
    <x v="9"/>
    <x v="0"/>
    <n v="36.9"/>
    <n v="2.2400000000000002"/>
    <x v="8"/>
    <s v="DOMINIO"/>
    <x v="0"/>
    <m/>
    <m/>
    <n v="2891"/>
    <n v="2515.17"/>
    <n v="2829.5662500000003"/>
  </r>
  <r>
    <x v="5"/>
    <x v="0"/>
    <x v="3"/>
    <x v="286"/>
    <x v="9"/>
    <x v="0"/>
    <n v="36.9"/>
    <n v="2.2400000000000002"/>
    <x v="8"/>
    <s v="DOMINIO"/>
    <x v="1"/>
    <m/>
    <m/>
    <n v="2891"/>
    <n v="2515.17"/>
    <n v="2829.5662500000003"/>
  </r>
  <r>
    <x v="5"/>
    <x v="0"/>
    <x v="3"/>
    <x v="15"/>
    <x v="9"/>
    <x v="0"/>
    <n v="36.9"/>
    <n v="2.2400000000000002"/>
    <x v="7"/>
    <s v="DOMINIO"/>
    <x v="0"/>
    <m/>
    <m/>
    <n v="2867"/>
    <n v="2494.29"/>
    <n v="2806.0762499999996"/>
  </r>
  <r>
    <x v="5"/>
    <x v="0"/>
    <x v="3"/>
    <x v="330"/>
    <x v="9"/>
    <x v="0"/>
    <n v="36.9"/>
    <n v="2.2400000000000002"/>
    <x v="7"/>
    <s v="DOMINIO"/>
    <x v="0"/>
    <m/>
    <m/>
    <n v="2867"/>
    <n v="2494.29"/>
    <n v="2806.0762499999996"/>
  </r>
  <r>
    <x v="5"/>
    <x v="0"/>
    <x v="3"/>
    <x v="332"/>
    <x v="9"/>
    <x v="0"/>
    <n v="36.9"/>
    <n v="2.2400000000000002"/>
    <x v="7"/>
    <s v="DOMINIO"/>
    <x v="0"/>
    <m/>
    <m/>
    <n v="2867"/>
    <n v="2494.29"/>
    <n v="2806.0762499999996"/>
  </r>
  <r>
    <x v="5"/>
    <x v="0"/>
    <x v="3"/>
    <x v="77"/>
    <x v="5"/>
    <x v="0"/>
    <n v="36.9"/>
    <n v="2.2400000000000002"/>
    <x v="8"/>
    <s v="DOMINIO"/>
    <x v="1"/>
    <m/>
    <m/>
    <n v="2902"/>
    <n v="2524.7399999999998"/>
    <n v="2840.3324999999995"/>
  </r>
  <r>
    <x v="5"/>
    <x v="0"/>
    <x v="3"/>
    <x v="17"/>
    <x v="5"/>
    <x v="0"/>
    <n v="36.9"/>
    <n v="2.2400000000000002"/>
    <x v="8"/>
    <s v="DOMINIO"/>
    <x v="0"/>
    <m/>
    <m/>
    <n v="2902"/>
    <n v="2524.7399999999998"/>
    <n v="2840.3324999999995"/>
  </r>
  <r>
    <x v="5"/>
    <x v="0"/>
    <x v="3"/>
    <x v="287"/>
    <x v="5"/>
    <x v="0"/>
    <n v="36.9"/>
    <n v="2.2400000000000002"/>
    <x v="8"/>
    <s v="DOMINIO"/>
    <x v="2"/>
    <m/>
    <s v="Assetplan"/>
    <n v="2902"/>
    <n v="2524.7399999999998"/>
    <n v="2840.3324999999995"/>
  </r>
  <r>
    <x v="5"/>
    <x v="0"/>
    <x v="3"/>
    <x v="19"/>
    <x v="5"/>
    <x v="0"/>
    <n v="36.9"/>
    <n v="2.2400000000000002"/>
    <x v="7"/>
    <s v="DOMINIO"/>
    <x v="2"/>
    <m/>
    <s v="Assetplan"/>
    <n v="2879"/>
    <n v="2504.73"/>
    <n v="2817.82125"/>
  </r>
  <r>
    <x v="5"/>
    <x v="0"/>
    <x v="3"/>
    <x v="337"/>
    <x v="5"/>
    <x v="0"/>
    <n v="36.9"/>
    <n v="2.2400000000000002"/>
    <x v="7"/>
    <s v="DOMINIO"/>
    <x v="2"/>
    <m/>
    <s v="Assetplan"/>
    <n v="2879"/>
    <n v="2504.73"/>
    <n v="2817.82125"/>
  </r>
  <r>
    <x v="5"/>
    <x v="0"/>
    <x v="3"/>
    <x v="339"/>
    <x v="5"/>
    <x v="0"/>
    <n v="36.9"/>
    <n v="2.2400000000000002"/>
    <x v="7"/>
    <s v="DOMINIO"/>
    <x v="2"/>
    <m/>
    <s v="Assetplan"/>
    <n v="2879"/>
    <n v="2504.73"/>
    <n v="2817.82125"/>
  </r>
  <r>
    <x v="5"/>
    <x v="0"/>
    <x v="3"/>
    <x v="79"/>
    <x v="10"/>
    <x v="0"/>
    <n v="36.9"/>
    <n v="2.2400000000000002"/>
    <x v="8"/>
    <s v="DOMINIO"/>
    <x v="0"/>
    <m/>
    <m/>
    <n v="2914"/>
    <n v="2535.1799999999998"/>
    <n v="2852.0774999999994"/>
  </r>
  <r>
    <x v="5"/>
    <x v="0"/>
    <x v="3"/>
    <x v="21"/>
    <x v="10"/>
    <x v="0"/>
    <n v="36.9"/>
    <n v="2.2400000000000002"/>
    <x v="8"/>
    <s v="DOMINIO"/>
    <x v="0"/>
    <m/>
    <m/>
    <n v="2914"/>
    <n v="2535.1799999999998"/>
    <n v="2852.0774999999994"/>
  </r>
  <r>
    <x v="5"/>
    <x v="0"/>
    <x v="3"/>
    <x v="23"/>
    <x v="10"/>
    <x v="0"/>
    <n v="36.9"/>
    <n v="2.2400000000000002"/>
    <x v="7"/>
    <s v="DOMINIO"/>
    <x v="0"/>
    <m/>
    <m/>
    <n v="2891"/>
    <n v="2515.17"/>
    <n v="2829.5662500000003"/>
  </r>
  <r>
    <x v="5"/>
    <x v="0"/>
    <x v="3"/>
    <x v="341"/>
    <x v="10"/>
    <x v="0"/>
    <n v="36.9"/>
    <n v="2.2400000000000002"/>
    <x v="7"/>
    <s v="DOMINIO"/>
    <x v="0"/>
    <m/>
    <m/>
    <n v="2891"/>
    <n v="2515.17"/>
    <n v="2829.5662500000003"/>
  </r>
  <r>
    <x v="5"/>
    <x v="0"/>
    <x v="3"/>
    <x v="343"/>
    <x v="10"/>
    <x v="0"/>
    <n v="36.9"/>
    <n v="2.2400000000000002"/>
    <x v="7"/>
    <s v="DOMINIO"/>
    <x v="0"/>
    <m/>
    <m/>
    <n v="2891"/>
    <n v="2515.17"/>
    <n v="2829.5662500000003"/>
  </r>
  <r>
    <x v="5"/>
    <x v="0"/>
    <x v="3"/>
    <x v="81"/>
    <x v="11"/>
    <x v="0"/>
    <n v="36.9"/>
    <n v="2.2400000000000002"/>
    <x v="8"/>
    <s v="DOMINIO"/>
    <x v="0"/>
    <m/>
    <m/>
    <n v="2926"/>
    <n v="2545.62"/>
    <n v="2863.8224999999998"/>
  </r>
  <r>
    <x v="5"/>
    <x v="0"/>
    <x v="3"/>
    <x v="26"/>
    <x v="11"/>
    <x v="0"/>
    <n v="36.9"/>
    <n v="2.2400000000000002"/>
    <x v="8"/>
    <s v="DOMINIO"/>
    <x v="0"/>
    <m/>
    <m/>
    <n v="2926"/>
    <n v="2545.62"/>
    <n v="2863.8224999999998"/>
  </r>
  <r>
    <x v="5"/>
    <x v="0"/>
    <x v="3"/>
    <x v="289"/>
    <x v="11"/>
    <x v="0"/>
    <n v="36.9"/>
    <n v="2.2400000000000002"/>
    <x v="8"/>
    <s v="DOMINIO"/>
    <x v="0"/>
    <m/>
    <m/>
    <n v="2926"/>
    <n v="2545.62"/>
    <n v="2863.8224999999998"/>
  </r>
  <r>
    <x v="5"/>
    <x v="0"/>
    <x v="3"/>
    <x v="349"/>
    <x v="11"/>
    <x v="0"/>
    <n v="36.9"/>
    <n v="2.2400000000000002"/>
    <x v="7"/>
    <s v="DOMINIO"/>
    <x v="0"/>
    <m/>
    <m/>
    <n v="2902"/>
    <n v="2524.7399999999998"/>
    <n v="2840.3324999999995"/>
  </r>
  <r>
    <x v="5"/>
    <x v="0"/>
    <x v="3"/>
    <x v="83"/>
    <x v="12"/>
    <x v="0"/>
    <n v="36.9"/>
    <n v="2.2400000000000002"/>
    <x v="8"/>
    <s v="DOMINIO"/>
    <x v="0"/>
    <m/>
    <m/>
    <n v="2932"/>
    <n v="2550.84"/>
    <n v="2869.6950000000002"/>
  </r>
  <r>
    <x v="5"/>
    <x v="0"/>
    <x v="3"/>
    <x v="400"/>
    <x v="12"/>
    <x v="0"/>
    <n v="36.9"/>
    <n v="2.2400000000000002"/>
    <x v="8"/>
    <s v="DOMINIO"/>
    <x v="0"/>
    <m/>
    <m/>
    <n v="2932"/>
    <n v="2550.84"/>
    <n v="2869.6950000000002"/>
  </r>
  <r>
    <x v="5"/>
    <x v="0"/>
    <x v="3"/>
    <x v="536"/>
    <x v="12"/>
    <x v="0"/>
    <n v="36.9"/>
    <n v="2.2400000000000002"/>
    <x v="8"/>
    <s v="DOMINIO"/>
    <x v="0"/>
    <m/>
    <m/>
    <n v="2932"/>
    <n v="2550.84"/>
    <n v="2869.6950000000002"/>
  </r>
  <r>
    <x v="5"/>
    <x v="0"/>
    <x v="3"/>
    <x v="85"/>
    <x v="13"/>
    <x v="0"/>
    <n v="36.9"/>
    <n v="2.2400000000000002"/>
    <x v="8"/>
    <s v="DOMINIO"/>
    <x v="2"/>
    <m/>
    <s v="Assetplan"/>
    <n v="2938"/>
    <n v="2556.06"/>
    <n v="2875.5674999999997"/>
  </r>
  <r>
    <x v="5"/>
    <x v="0"/>
    <x v="3"/>
    <x v="537"/>
    <x v="13"/>
    <x v="0"/>
    <n v="36.9"/>
    <n v="2.2400000000000002"/>
    <x v="8"/>
    <s v="DOMINIO"/>
    <x v="2"/>
    <m/>
    <s v="Assetplan"/>
    <n v="2938"/>
    <n v="2556.06"/>
    <n v="2875.5674999999997"/>
  </r>
  <r>
    <x v="5"/>
    <x v="0"/>
    <x v="3"/>
    <x v="37"/>
    <x v="13"/>
    <x v="0"/>
    <n v="36.9"/>
    <n v="2.2400000000000002"/>
    <x v="7"/>
    <s v="DOMINIO"/>
    <x v="0"/>
    <m/>
    <m/>
    <n v="2914"/>
    <n v="2535.1799999999998"/>
    <n v="2852.0774999999994"/>
  </r>
  <r>
    <x v="5"/>
    <x v="0"/>
    <x v="3"/>
    <x v="538"/>
    <x v="13"/>
    <x v="0"/>
    <n v="36.9"/>
    <n v="2.2400000000000002"/>
    <x v="7"/>
    <s v="DOMINIO"/>
    <x v="2"/>
    <m/>
    <s v="Assetplan"/>
    <n v="2914"/>
    <n v="2535.1799999999998"/>
    <n v="2852.0774999999994"/>
  </r>
  <r>
    <x v="5"/>
    <x v="0"/>
    <x v="3"/>
    <x v="231"/>
    <x v="13"/>
    <x v="0"/>
    <n v="36.9"/>
    <n v="2.2400000000000002"/>
    <x v="7"/>
    <s v="DOMINIO"/>
    <x v="0"/>
    <m/>
    <m/>
    <n v="2914"/>
    <n v="2535.1799999999998"/>
    <n v="2852.0774999999994"/>
  </r>
  <r>
    <x v="5"/>
    <x v="0"/>
    <x v="3"/>
    <x v="87"/>
    <x v="14"/>
    <x v="0"/>
    <n v="36.9"/>
    <n v="2.2400000000000002"/>
    <x v="8"/>
    <s v="DOMINIO"/>
    <x v="2"/>
    <m/>
    <s v="Assetplan"/>
    <n v="2944"/>
    <n v="2561.2800000000002"/>
    <n v="2881.44"/>
  </r>
  <r>
    <x v="5"/>
    <x v="0"/>
    <x v="3"/>
    <x v="40"/>
    <x v="14"/>
    <x v="0"/>
    <n v="36.9"/>
    <n v="2.2400000000000002"/>
    <x v="8"/>
    <s v="DOMINIO"/>
    <x v="2"/>
    <m/>
    <s v="Assetplan"/>
    <n v="2944"/>
    <n v="2561.2800000000002"/>
    <n v="2881.44"/>
  </r>
  <r>
    <x v="5"/>
    <x v="0"/>
    <x v="3"/>
    <x v="539"/>
    <x v="14"/>
    <x v="0"/>
    <n v="36.9"/>
    <n v="2.2400000000000002"/>
    <x v="8"/>
    <s v="DOMINIO"/>
    <x v="2"/>
    <m/>
    <s v="Assetplan"/>
    <n v="2944"/>
    <n v="2561.2800000000002"/>
    <n v="2881.44"/>
  </r>
  <r>
    <x v="5"/>
    <x v="0"/>
    <x v="3"/>
    <x v="42"/>
    <x v="14"/>
    <x v="0"/>
    <n v="36.9"/>
    <n v="2.2400000000000002"/>
    <x v="7"/>
    <s v="DOMINIO"/>
    <x v="2"/>
    <m/>
    <s v="Assetplan"/>
    <n v="2920"/>
    <n v="2540.4"/>
    <n v="2857.95"/>
  </r>
  <r>
    <x v="5"/>
    <x v="0"/>
    <x v="3"/>
    <x v="540"/>
    <x v="14"/>
    <x v="0"/>
    <n v="36.9"/>
    <n v="2.2400000000000002"/>
    <x v="7"/>
    <s v="DOMINIO"/>
    <x v="2"/>
    <m/>
    <s v="Assetplan"/>
    <n v="2920"/>
    <n v="2540.4"/>
    <n v="2857.95"/>
  </r>
  <r>
    <x v="5"/>
    <x v="0"/>
    <x v="3"/>
    <x v="232"/>
    <x v="14"/>
    <x v="0"/>
    <n v="36.9"/>
    <n v="2.2400000000000002"/>
    <x v="7"/>
    <s v="DOMINIO"/>
    <x v="2"/>
    <m/>
    <s v="Assetplan"/>
    <n v="2920"/>
    <n v="2540.4"/>
    <n v="2857.95"/>
  </r>
  <r>
    <x v="5"/>
    <x v="0"/>
    <x v="3"/>
    <x v="235"/>
    <x v="15"/>
    <x v="0"/>
    <n v="36.9"/>
    <n v="2.2400000000000002"/>
    <x v="7"/>
    <s v="DOMINIO"/>
    <x v="0"/>
    <m/>
    <m/>
    <n v="2926"/>
    <n v="2545.62"/>
    <n v="2863.8224999999998"/>
  </r>
  <r>
    <x v="5"/>
    <x v="0"/>
    <x v="10"/>
    <x v="194"/>
    <x v="6"/>
    <x v="0"/>
    <n v="42.7"/>
    <n v="2.23"/>
    <x v="8"/>
    <s v="DOMINIO"/>
    <x v="0"/>
    <m/>
    <m/>
    <n v="3126"/>
    <n v="2719.62"/>
    <n v="3059.5724999999998"/>
  </r>
  <r>
    <x v="5"/>
    <x v="0"/>
    <x v="10"/>
    <x v="369"/>
    <x v="3"/>
    <x v="0"/>
    <n v="42.7"/>
    <n v="2.23"/>
    <x v="8"/>
    <s v="DOMINIO"/>
    <x v="0"/>
    <m/>
    <m/>
    <n v="3185"/>
    <n v="2770.95"/>
    <n v="3117.3187499999999"/>
  </r>
  <r>
    <x v="5"/>
    <x v="0"/>
    <x v="10"/>
    <x v="406"/>
    <x v="3"/>
    <x v="0"/>
    <n v="42.7"/>
    <n v="2.23"/>
    <x v="8"/>
    <s v="DOMINIO"/>
    <x v="0"/>
    <m/>
    <m/>
    <n v="3185"/>
    <n v="2770.95"/>
    <n v="3117.3187499999999"/>
  </r>
  <r>
    <x v="5"/>
    <x v="0"/>
    <x v="10"/>
    <x v="293"/>
    <x v="3"/>
    <x v="0"/>
    <n v="42.7"/>
    <n v="2.23"/>
    <x v="7"/>
    <s v="DOMINIO"/>
    <x v="0"/>
    <m/>
    <m/>
    <n v="3161"/>
    <n v="2750.07"/>
    <n v="3093.8287500000001"/>
  </r>
  <r>
    <x v="5"/>
    <x v="0"/>
    <x v="10"/>
    <x v="371"/>
    <x v="3"/>
    <x v="0"/>
    <n v="42.7"/>
    <n v="2.23"/>
    <x v="7"/>
    <s v="DOMINIO"/>
    <x v="0"/>
    <m/>
    <m/>
    <n v="3161"/>
    <n v="2750.07"/>
    <n v="3093.8287500000001"/>
  </r>
  <r>
    <x v="5"/>
    <x v="0"/>
    <x v="10"/>
    <x v="298"/>
    <x v="0"/>
    <x v="0"/>
    <n v="42.66"/>
    <n v="2.23"/>
    <x v="8"/>
    <s v="DOMINIO"/>
    <x v="0"/>
    <m/>
    <m/>
    <n v="3196"/>
    <n v="2780.52"/>
    <n v="3128.0849999999996"/>
  </r>
  <r>
    <x v="5"/>
    <x v="0"/>
    <x v="10"/>
    <x v="301"/>
    <x v="0"/>
    <x v="0"/>
    <n v="42.66"/>
    <n v="2.23"/>
    <x v="7"/>
    <s v="DOMINIO"/>
    <x v="0"/>
    <m/>
    <m/>
    <n v="3173"/>
    <n v="2760.5099999999998"/>
    <n v="3105.5737499999996"/>
  </r>
  <r>
    <x v="5"/>
    <x v="0"/>
    <x v="10"/>
    <x v="373"/>
    <x v="0"/>
    <x v="0"/>
    <n v="42.66"/>
    <n v="2.23"/>
    <x v="7"/>
    <s v="DOMINIO"/>
    <x v="0"/>
    <m/>
    <m/>
    <n v="3173"/>
    <n v="2760.5099999999998"/>
    <n v="3105.5737499999996"/>
  </r>
  <r>
    <x v="5"/>
    <x v="0"/>
    <x v="10"/>
    <x v="374"/>
    <x v="4"/>
    <x v="0"/>
    <n v="42.66"/>
    <n v="2.23"/>
    <x v="8"/>
    <s v="DOMINIO"/>
    <x v="0"/>
    <m/>
    <m/>
    <n v="3208"/>
    <n v="2790.96"/>
    <n v="3139.83"/>
  </r>
  <r>
    <x v="5"/>
    <x v="0"/>
    <x v="10"/>
    <x v="238"/>
    <x v="4"/>
    <x v="0"/>
    <n v="42.66"/>
    <n v="2.23"/>
    <x v="8"/>
    <s v="DOMINIO"/>
    <x v="0"/>
    <m/>
    <m/>
    <n v="3208"/>
    <n v="2790.96"/>
    <n v="3139.83"/>
  </r>
  <r>
    <x v="5"/>
    <x v="0"/>
    <x v="10"/>
    <x v="307"/>
    <x v="4"/>
    <x v="0"/>
    <n v="42.66"/>
    <n v="2.23"/>
    <x v="7"/>
    <s v="DOMINIO"/>
    <x v="0"/>
    <m/>
    <m/>
    <n v="3185"/>
    <n v="2770.95"/>
    <n v="3117.3187499999999"/>
  </r>
  <r>
    <x v="5"/>
    <x v="0"/>
    <x v="10"/>
    <x v="9"/>
    <x v="4"/>
    <x v="0"/>
    <n v="42.66"/>
    <n v="2.23"/>
    <x v="7"/>
    <s v="DOMINIO"/>
    <x v="0"/>
    <m/>
    <m/>
    <n v="3185"/>
    <n v="2770.95"/>
    <n v="3117.3187499999999"/>
  </r>
  <r>
    <x v="5"/>
    <x v="0"/>
    <x v="10"/>
    <x v="376"/>
    <x v="7"/>
    <x v="0"/>
    <n v="42.66"/>
    <n v="2.23"/>
    <x v="8"/>
    <s v="DOMINIO"/>
    <x v="0"/>
    <m/>
    <m/>
    <n v="3220"/>
    <n v="2801.4"/>
    <n v="3151.5750000000003"/>
  </r>
  <r>
    <x v="5"/>
    <x v="0"/>
    <x v="10"/>
    <x v="312"/>
    <x v="7"/>
    <x v="0"/>
    <n v="42.66"/>
    <n v="2.23"/>
    <x v="8"/>
    <s v="DOMINIO"/>
    <x v="0"/>
    <m/>
    <m/>
    <n v="3220"/>
    <n v="2801.4"/>
    <n v="3151.5750000000003"/>
  </r>
  <r>
    <x v="5"/>
    <x v="0"/>
    <x v="10"/>
    <x v="378"/>
    <x v="7"/>
    <x v="0"/>
    <n v="42.66"/>
    <n v="2.23"/>
    <x v="7"/>
    <s v="DOMINIO"/>
    <x v="0"/>
    <m/>
    <m/>
    <n v="3196"/>
    <n v="2780.52"/>
    <n v="3128.0849999999996"/>
  </r>
  <r>
    <x v="5"/>
    <x v="0"/>
    <x v="10"/>
    <x v="74"/>
    <x v="8"/>
    <x v="0"/>
    <n v="42.66"/>
    <n v="2.23"/>
    <x v="8"/>
    <s v="DOMINIO"/>
    <x v="0"/>
    <m/>
    <m/>
    <n v="3232"/>
    <n v="2811.84"/>
    <n v="3163.3199999999997"/>
  </r>
  <r>
    <x v="5"/>
    <x v="0"/>
    <x v="10"/>
    <x v="320"/>
    <x v="8"/>
    <x v="0"/>
    <n v="42.66"/>
    <n v="2.23"/>
    <x v="8"/>
    <s v="DOMINIO"/>
    <x v="0"/>
    <m/>
    <m/>
    <n v="3232"/>
    <n v="2811.84"/>
    <n v="3163.3199999999997"/>
  </r>
  <r>
    <x v="5"/>
    <x v="0"/>
    <x v="10"/>
    <x v="323"/>
    <x v="8"/>
    <x v="0"/>
    <n v="42.66"/>
    <n v="2.23"/>
    <x v="7"/>
    <s v="DOMINIO"/>
    <x v="0"/>
    <m/>
    <m/>
    <n v="3208"/>
    <n v="2790.96"/>
    <n v="3139.83"/>
  </r>
  <r>
    <x v="5"/>
    <x v="0"/>
    <x v="10"/>
    <x v="408"/>
    <x v="8"/>
    <x v="0"/>
    <n v="42.66"/>
    <n v="2.23"/>
    <x v="7"/>
    <s v="DOMINIO"/>
    <x v="0"/>
    <m/>
    <m/>
    <n v="3208"/>
    <n v="2790.96"/>
    <n v="3139.83"/>
  </r>
  <r>
    <x v="5"/>
    <x v="0"/>
    <x v="10"/>
    <x v="76"/>
    <x v="9"/>
    <x v="0"/>
    <n v="42.66"/>
    <n v="2.23"/>
    <x v="8"/>
    <s v="DOMINIO"/>
    <x v="0"/>
    <m/>
    <m/>
    <n v="3244"/>
    <n v="2822.28"/>
    <n v="3175.0650000000001"/>
  </r>
  <r>
    <x v="5"/>
    <x v="0"/>
    <x v="10"/>
    <x v="328"/>
    <x v="9"/>
    <x v="0"/>
    <n v="42.66"/>
    <n v="2.23"/>
    <x v="8"/>
    <s v="DOMINIO"/>
    <x v="0"/>
    <m/>
    <m/>
    <n v="3244"/>
    <n v="2822.28"/>
    <n v="3175.0650000000001"/>
  </r>
  <r>
    <x v="5"/>
    <x v="0"/>
    <x v="10"/>
    <x v="331"/>
    <x v="9"/>
    <x v="0"/>
    <n v="42.66"/>
    <n v="2.23"/>
    <x v="7"/>
    <s v="DOMINIO"/>
    <x v="0"/>
    <m/>
    <m/>
    <n v="3220"/>
    <n v="2801.4"/>
    <n v="3151.5750000000003"/>
  </r>
  <r>
    <x v="5"/>
    <x v="0"/>
    <x v="10"/>
    <x v="381"/>
    <x v="9"/>
    <x v="0"/>
    <n v="42.66"/>
    <n v="2.23"/>
    <x v="7"/>
    <s v="DOMINIO"/>
    <x v="0"/>
    <m/>
    <m/>
    <n v="3220"/>
    <n v="2801.4"/>
    <n v="3151.5750000000003"/>
  </r>
  <r>
    <x v="5"/>
    <x v="0"/>
    <x v="10"/>
    <x v="336"/>
    <x v="5"/>
    <x v="0"/>
    <n v="42.66"/>
    <n v="2.23"/>
    <x v="8"/>
    <s v="DOMINIO"/>
    <x v="2"/>
    <m/>
    <s v="Assetplan con Est. 77"/>
    <n v="3255"/>
    <n v="2831.85"/>
    <n v="3185.8312499999997"/>
  </r>
  <r>
    <x v="5"/>
    <x v="0"/>
    <x v="10"/>
    <x v="336"/>
    <x v="5"/>
    <x v="0"/>
    <n v="42.66"/>
    <n v="2.23"/>
    <x v="8"/>
    <s v="DOMINIO"/>
    <x v="2"/>
    <m/>
    <s v="Assetplan con Est. 78"/>
    <n v="3255"/>
    <n v="2831.85"/>
    <n v="3185.8312499999997"/>
  </r>
  <r>
    <x v="5"/>
    <x v="0"/>
    <x v="10"/>
    <x v="338"/>
    <x v="5"/>
    <x v="0"/>
    <n v="42.66"/>
    <n v="2.23"/>
    <x v="7"/>
    <s v="DOMINIO"/>
    <x v="2"/>
    <m/>
    <s v="Assetplan con Est. 84"/>
    <n v="3232"/>
    <n v="2811.84"/>
    <n v="3163.3199999999997"/>
  </r>
  <r>
    <x v="5"/>
    <x v="0"/>
    <x v="10"/>
    <x v="383"/>
    <x v="5"/>
    <x v="0"/>
    <n v="42.66"/>
    <n v="2.23"/>
    <x v="7"/>
    <s v="DOMINIO"/>
    <x v="2"/>
    <m/>
    <s v="Assetplan con Est. 85"/>
    <n v="3232"/>
    <n v="2811.84"/>
    <n v="3163.3199999999997"/>
  </r>
  <r>
    <x v="5"/>
    <x v="0"/>
    <x v="10"/>
    <x v="80"/>
    <x v="10"/>
    <x v="0"/>
    <n v="42.66"/>
    <n v="2.23"/>
    <x v="8"/>
    <s v="DOMINIO"/>
    <x v="0"/>
    <m/>
    <m/>
    <n v="3267"/>
    <n v="2842.29"/>
    <n v="3197.5762500000001"/>
  </r>
  <r>
    <x v="5"/>
    <x v="0"/>
    <x v="10"/>
    <x v="241"/>
    <x v="10"/>
    <x v="0"/>
    <n v="42.66"/>
    <n v="2.23"/>
    <x v="8"/>
    <s v="DOMINIO"/>
    <x v="0"/>
    <m/>
    <m/>
    <n v="3267"/>
    <n v="2842.29"/>
    <n v="3197.5762500000001"/>
  </r>
  <r>
    <x v="5"/>
    <x v="0"/>
    <x v="10"/>
    <x v="385"/>
    <x v="10"/>
    <x v="0"/>
    <n v="42.66"/>
    <n v="2.23"/>
    <x v="7"/>
    <s v="DOMINIO"/>
    <x v="0"/>
    <m/>
    <m/>
    <n v="3244"/>
    <n v="2822.28"/>
    <n v="3175.0650000000001"/>
  </r>
  <r>
    <x v="5"/>
    <x v="0"/>
    <x v="10"/>
    <x v="82"/>
    <x v="11"/>
    <x v="0"/>
    <n v="42.66"/>
    <n v="2.23"/>
    <x v="8"/>
    <s v="DOMINIO"/>
    <x v="0"/>
    <m/>
    <m/>
    <n v="3279"/>
    <n v="2852.73"/>
    <n v="3209.3212499999995"/>
  </r>
  <r>
    <x v="5"/>
    <x v="0"/>
    <x v="10"/>
    <x v="346"/>
    <x v="11"/>
    <x v="0"/>
    <n v="42.66"/>
    <n v="2.23"/>
    <x v="8"/>
    <s v="DOMINIO"/>
    <x v="0"/>
    <m/>
    <m/>
    <n v="3279"/>
    <n v="2852.73"/>
    <n v="3209.3212499999995"/>
  </r>
  <r>
    <x v="5"/>
    <x v="0"/>
    <x v="10"/>
    <x v="348"/>
    <x v="11"/>
    <x v="0"/>
    <n v="42.66"/>
    <n v="2.23"/>
    <x v="7"/>
    <s v="DOMINIO"/>
    <x v="0"/>
    <m/>
    <m/>
    <n v="3255"/>
    <n v="2831.85"/>
    <n v="3185.8312499999997"/>
  </r>
  <r>
    <x v="5"/>
    <x v="0"/>
    <x v="10"/>
    <x v="387"/>
    <x v="11"/>
    <x v="0"/>
    <n v="42.66"/>
    <n v="2.23"/>
    <x v="7"/>
    <s v="DOMINIO"/>
    <x v="0"/>
    <m/>
    <m/>
    <n v="3255"/>
    <n v="2831.85"/>
    <n v="3185.8312499999997"/>
  </r>
  <r>
    <x v="5"/>
    <x v="0"/>
    <x v="10"/>
    <x v="84"/>
    <x v="12"/>
    <x v="0"/>
    <n v="42.66"/>
    <n v="2.23"/>
    <x v="8"/>
    <s v="DOMINIO"/>
    <x v="0"/>
    <m/>
    <m/>
    <n v="3285"/>
    <n v="2857.95"/>
    <n v="3215.1937499999995"/>
  </r>
  <r>
    <x v="5"/>
    <x v="0"/>
    <x v="10"/>
    <x v="403"/>
    <x v="12"/>
    <x v="0"/>
    <n v="42.66"/>
    <n v="2.23"/>
    <x v="8"/>
    <s v="DOMINIO"/>
    <x v="0"/>
    <m/>
    <m/>
    <n v="3285"/>
    <n v="2857.95"/>
    <n v="3215.1937499999995"/>
  </r>
  <r>
    <x v="5"/>
    <x v="0"/>
    <x v="10"/>
    <x v="404"/>
    <x v="12"/>
    <x v="0"/>
    <n v="42.66"/>
    <n v="2.23"/>
    <x v="7"/>
    <s v="DOMINIO"/>
    <x v="0"/>
    <m/>
    <m/>
    <n v="3261"/>
    <n v="2837.07"/>
    <n v="3191.7037500000001"/>
  </r>
  <r>
    <x v="5"/>
    <x v="0"/>
    <x v="10"/>
    <x v="405"/>
    <x v="12"/>
    <x v="0"/>
    <n v="42.66"/>
    <n v="2.23"/>
    <x v="7"/>
    <s v="DOMINIO"/>
    <x v="0"/>
    <m/>
    <m/>
    <n v="3261"/>
    <n v="2837.07"/>
    <n v="3191.7037500000001"/>
  </r>
  <r>
    <x v="5"/>
    <x v="0"/>
    <x v="10"/>
    <x v="86"/>
    <x v="13"/>
    <x v="0"/>
    <n v="42.66"/>
    <n v="2.23"/>
    <x v="8"/>
    <s v="DOMINIO"/>
    <x v="2"/>
    <m/>
    <s v="Assetplan con Est. 95"/>
    <n v="3291"/>
    <n v="2863.17"/>
    <n v="3221.0662499999999"/>
  </r>
  <r>
    <x v="5"/>
    <x v="0"/>
    <x v="10"/>
    <x v="541"/>
    <x v="13"/>
    <x v="0"/>
    <n v="42.66"/>
    <n v="2.23"/>
    <x v="8"/>
    <s v="DOMINIO"/>
    <x v="2"/>
    <m/>
    <s v="Assetplan"/>
    <n v="3291"/>
    <n v="2863.17"/>
    <n v="3221.0662499999999"/>
  </r>
  <r>
    <x v="5"/>
    <x v="0"/>
    <x v="10"/>
    <x v="542"/>
    <x v="13"/>
    <x v="0"/>
    <n v="42.66"/>
    <n v="2.23"/>
    <x v="7"/>
    <s v="DOMINIO"/>
    <x v="2"/>
    <m/>
    <s v="Assetplan"/>
    <n v="3267"/>
    <n v="2842.29"/>
    <n v="3197.5762500000001"/>
  </r>
  <r>
    <x v="5"/>
    <x v="0"/>
    <x v="10"/>
    <x v="230"/>
    <x v="13"/>
    <x v="0"/>
    <n v="42.66"/>
    <n v="2.23"/>
    <x v="7"/>
    <s v="DOMINIO"/>
    <x v="2"/>
    <m/>
    <s v="Assetplan con Est. 99"/>
    <n v="3267"/>
    <n v="2842.29"/>
    <n v="3197.5762500000001"/>
  </r>
  <r>
    <x v="5"/>
    <x v="0"/>
    <x v="10"/>
    <x v="88"/>
    <x v="14"/>
    <x v="0"/>
    <n v="42.66"/>
    <n v="2.23"/>
    <x v="8"/>
    <s v="DOMINIO"/>
    <x v="2"/>
    <m/>
    <s v="Assetplan con Est. 97"/>
    <n v="3296"/>
    <n v="2867.52"/>
    <n v="3225.96"/>
  </r>
  <r>
    <x v="5"/>
    <x v="0"/>
    <x v="10"/>
    <x v="543"/>
    <x v="14"/>
    <x v="0"/>
    <n v="42.66"/>
    <n v="2.23"/>
    <x v="8"/>
    <s v="DOMINIO"/>
    <x v="2"/>
    <m/>
    <s v="Assetplan con Est. 102"/>
    <n v="3296"/>
    <n v="2867.52"/>
    <n v="3225.96"/>
  </r>
  <r>
    <x v="5"/>
    <x v="0"/>
    <x v="10"/>
    <x v="544"/>
    <x v="14"/>
    <x v="0"/>
    <n v="42.66"/>
    <n v="2.23"/>
    <x v="7"/>
    <s v="DOMINIO"/>
    <x v="2"/>
    <m/>
    <s v="Assetplan con Est. 104"/>
    <n v="3273"/>
    <n v="2847.5099999999998"/>
    <n v="3203.44875"/>
  </r>
  <r>
    <x v="5"/>
    <x v="0"/>
    <x v="10"/>
    <x v="545"/>
    <x v="14"/>
    <x v="0"/>
    <n v="42.66"/>
    <n v="2.23"/>
    <x v="7"/>
    <s v="DOMINIO"/>
    <x v="2"/>
    <m/>
    <s v="Assetplan con Est. 105"/>
    <n v="3273"/>
    <n v="2847.5099999999998"/>
    <n v="3203.44875"/>
  </r>
  <r>
    <x v="5"/>
    <x v="0"/>
    <x v="10"/>
    <x v="90"/>
    <x v="15"/>
    <x v="0"/>
    <n v="42.66"/>
    <n v="2.23"/>
    <x v="8"/>
    <s v="DOMINIO"/>
    <x v="0"/>
    <m/>
    <m/>
    <n v="3302"/>
    <n v="2872.74"/>
    <n v="3231.8324999999995"/>
  </r>
  <r>
    <x v="5"/>
    <x v="0"/>
    <x v="10"/>
    <x v="234"/>
    <x v="15"/>
    <x v="0"/>
    <n v="42.66"/>
    <n v="2.23"/>
    <x v="7"/>
    <s v="DOMINIO"/>
    <x v="0"/>
    <m/>
    <m/>
    <n v="3279"/>
    <n v="2852.73"/>
    <n v="3209.3212499999995"/>
  </r>
  <r>
    <x v="5"/>
    <x v="0"/>
    <x v="4"/>
    <x v="335"/>
    <x v="5"/>
    <x v="0"/>
    <n v="42.83"/>
    <n v="2.2400000000000002"/>
    <x v="8"/>
    <s v="DOMINIO"/>
    <x v="0"/>
    <m/>
    <m/>
    <n v="3081"/>
    <n v="2680.47"/>
    <n v="3015.5287499999995"/>
  </r>
  <r>
    <x v="5"/>
    <x v="0"/>
    <x v="4"/>
    <x v="367"/>
    <x v="11"/>
    <x v="0"/>
    <n v="42.83"/>
    <n v="2.2400000000000002"/>
    <x v="7"/>
    <s v="DOMINIO"/>
    <x v="0"/>
    <m/>
    <m/>
    <n v="3081"/>
    <n v="2680.47"/>
    <n v="3015.5287499999995"/>
  </r>
  <r>
    <x v="5"/>
    <x v="0"/>
    <x v="4"/>
    <x v="546"/>
    <x v="12"/>
    <x v="0"/>
    <n v="42.83"/>
    <n v="2.2400000000000002"/>
    <x v="8"/>
    <s v="DOMINIO"/>
    <x v="0"/>
    <m/>
    <m/>
    <n v="3111"/>
    <n v="2706.57"/>
    <n v="3044.8912499999997"/>
  </r>
  <r>
    <x v="5"/>
    <x v="0"/>
    <x v="4"/>
    <x v="33"/>
    <x v="12"/>
    <x v="0"/>
    <n v="42.83"/>
    <n v="2.2400000000000002"/>
    <x v="7"/>
    <s v="DOMINIO"/>
    <x v="0"/>
    <m/>
    <m/>
    <n v="3087"/>
    <n v="2685.69"/>
    <n v="3021.4012499999999"/>
  </r>
  <r>
    <x v="5"/>
    <x v="0"/>
    <x v="4"/>
    <x v="547"/>
    <x v="12"/>
    <x v="0"/>
    <n v="42.83"/>
    <n v="2.2400000000000002"/>
    <x v="7"/>
    <s v="DOMINIO"/>
    <x v="0"/>
    <m/>
    <m/>
    <n v="3087"/>
    <n v="2685.69"/>
    <n v="3021.4012499999999"/>
  </r>
  <r>
    <x v="5"/>
    <x v="0"/>
    <x v="4"/>
    <x v="548"/>
    <x v="13"/>
    <x v="0"/>
    <n v="42.83"/>
    <n v="2.2400000000000002"/>
    <x v="8"/>
    <s v="DOMINIO"/>
    <x v="2"/>
    <m/>
    <s v="Assetplan con Est. 96"/>
    <n v="3116"/>
    <n v="2710.92"/>
    <n v="3049.7849999999999"/>
  </r>
  <r>
    <x v="5"/>
    <x v="0"/>
    <x v="4"/>
    <x v="38"/>
    <x v="13"/>
    <x v="0"/>
    <n v="42.83"/>
    <n v="2.2400000000000002"/>
    <x v="7"/>
    <s v="DOMINIO"/>
    <x v="2"/>
    <m/>
    <s v="Assetplan"/>
    <n v="3093"/>
    <n v="2690.91"/>
    <n v="3027.2737499999998"/>
  </r>
  <r>
    <x v="5"/>
    <x v="0"/>
    <x v="4"/>
    <x v="549"/>
    <x v="13"/>
    <x v="0"/>
    <n v="42.83"/>
    <n v="2.2400000000000002"/>
    <x v="7"/>
    <s v="DOMINIO"/>
    <x v="2"/>
    <m/>
    <s v="Assetplan"/>
    <n v="3093"/>
    <n v="2690.91"/>
    <n v="3027.2737499999998"/>
  </r>
  <r>
    <x v="5"/>
    <x v="0"/>
    <x v="4"/>
    <x v="550"/>
    <x v="14"/>
    <x v="0"/>
    <n v="42.83"/>
    <n v="2.2400000000000002"/>
    <x v="8"/>
    <s v="DOMINIO"/>
    <x v="2"/>
    <m/>
    <s v="Assetplan con Est. 98"/>
    <n v="3122"/>
    <n v="2716.14"/>
    <n v="3055.6574999999998"/>
  </r>
  <r>
    <x v="5"/>
    <x v="0"/>
    <x v="4"/>
    <x v="43"/>
    <x v="14"/>
    <x v="0"/>
    <n v="42.83"/>
    <n v="2.2400000000000002"/>
    <x v="7"/>
    <s v="DOMINIO"/>
    <x v="2"/>
    <m/>
    <s v="Assetplan"/>
    <n v="3099"/>
    <n v="2696.13"/>
    <n v="3033.1462500000002"/>
  </r>
  <r>
    <x v="5"/>
    <x v="0"/>
    <x v="4"/>
    <x v="551"/>
    <x v="14"/>
    <x v="0"/>
    <n v="42.83"/>
    <n v="2.2400000000000002"/>
    <x v="7"/>
    <s v="DOMINIO"/>
    <x v="2"/>
    <m/>
    <s v="Assetplan"/>
    <n v="3099"/>
    <n v="2696.13"/>
    <n v="3033.1462500000002"/>
  </r>
  <r>
    <x v="5"/>
    <x v="0"/>
    <x v="4"/>
    <x v="552"/>
    <x v="15"/>
    <x v="0"/>
    <n v="42.83"/>
    <n v="2.2400000000000002"/>
    <x v="8"/>
    <s v="DOMINIO"/>
    <x v="0"/>
    <m/>
    <m/>
    <n v="3128"/>
    <n v="2721.36"/>
    <n v="3061.53"/>
  </r>
  <r>
    <x v="5"/>
    <x v="0"/>
    <x v="4"/>
    <x v="48"/>
    <x v="15"/>
    <x v="0"/>
    <n v="42.83"/>
    <n v="2.2400000000000002"/>
    <x v="7"/>
    <s v="DOMINIO"/>
    <x v="0"/>
    <m/>
    <m/>
    <n v="3105"/>
    <n v="2701.35"/>
    <n v="3039.0187500000002"/>
  </r>
  <r>
    <x v="5"/>
    <x v="0"/>
    <x v="4"/>
    <x v="553"/>
    <x v="15"/>
    <x v="0"/>
    <n v="42.83"/>
    <n v="2.2400000000000002"/>
    <x v="7"/>
    <s v="DOMINIO"/>
    <x v="0"/>
    <m/>
    <m/>
    <n v="3105"/>
    <n v="2701.35"/>
    <n v="3039.0187500000002"/>
  </r>
  <r>
    <x v="5"/>
    <x v="0"/>
    <x v="5"/>
    <x v="291"/>
    <x v="3"/>
    <x v="0"/>
    <n v="46.62"/>
    <n v="2.2400000000000002"/>
    <x v="7"/>
    <s v="DOMINIO"/>
    <x v="0"/>
    <m/>
    <m/>
    <n v="3154"/>
    <n v="2743.98"/>
    <n v="3086.9774999999995"/>
  </r>
  <r>
    <x v="5"/>
    <x v="0"/>
    <x v="5"/>
    <x v="370"/>
    <x v="3"/>
    <x v="0"/>
    <n v="46.22"/>
    <n v="2.2400000000000002"/>
    <x v="7"/>
    <s v="DOMINIO"/>
    <x v="0"/>
    <m/>
    <m/>
    <n v="3154"/>
    <n v="2743.98"/>
    <n v="3086.9774999999995"/>
  </r>
  <r>
    <x v="5"/>
    <x v="0"/>
    <x v="5"/>
    <x v="3"/>
    <x v="3"/>
    <x v="0"/>
    <n v="47.44"/>
    <n v="2.36"/>
    <x v="5"/>
    <s v="DOMINIO"/>
    <x v="0"/>
    <m/>
    <m/>
    <n v="3201"/>
    <n v="2784.87"/>
    <n v="3132.9787499999998"/>
  </r>
  <r>
    <x v="5"/>
    <x v="0"/>
    <x v="5"/>
    <x v="296"/>
    <x v="3"/>
    <x v="0"/>
    <n v="46.62"/>
    <n v="2.2400000000000002"/>
    <x v="5"/>
    <s v="DOMINIO"/>
    <x v="0"/>
    <m/>
    <m/>
    <n v="3201"/>
    <n v="2784.87"/>
    <n v="3132.9787499999998"/>
  </r>
  <r>
    <x v="5"/>
    <x v="0"/>
    <x v="5"/>
    <x v="353"/>
    <x v="3"/>
    <x v="0"/>
    <n v="46.62"/>
    <n v="2.2400000000000002"/>
    <x v="5"/>
    <s v="DOMINIO"/>
    <x v="0"/>
    <m/>
    <m/>
    <n v="3201"/>
    <n v="2784.87"/>
    <n v="3132.9787499999998"/>
  </r>
  <r>
    <x v="5"/>
    <x v="0"/>
    <x v="5"/>
    <x v="297"/>
    <x v="3"/>
    <x v="0"/>
    <n v="46.62"/>
    <n v="2.2400000000000002"/>
    <x v="5"/>
    <s v="DOMINIO"/>
    <x v="0"/>
    <m/>
    <m/>
    <n v="3201"/>
    <n v="2784.87"/>
    <n v="3132.9787499999998"/>
  </r>
  <r>
    <x v="5"/>
    <x v="0"/>
    <x v="5"/>
    <x v="243"/>
    <x v="3"/>
    <x v="0"/>
    <n v="46.62"/>
    <n v="2.2400000000000002"/>
    <x v="6"/>
    <s v="DOMINIO"/>
    <x v="0"/>
    <m/>
    <m/>
    <n v="3119"/>
    <n v="2713.53"/>
    <n v="3052.7212500000001"/>
  </r>
  <r>
    <x v="5"/>
    <x v="0"/>
    <x v="5"/>
    <x v="554"/>
    <x v="3"/>
    <x v="0"/>
    <n v="46.22"/>
    <n v="2.2400000000000002"/>
    <x v="6"/>
    <s v="DOMINIO"/>
    <x v="0"/>
    <m/>
    <m/>
    <n v="3119"/>
    <n v="2713.53"/>
    <n v="3052.7212500000001"/>
  </r>
  <r>
    <x v="5"/>
    <x v="0"/>
    <x v="5"/>
    <x v="237"/>
    <x v="0"/>
    <x v="0"/>
    <n v="46.59"/>
    <n v="2.2400000000000002"/>
    <x v="8"/>
    <s v="DOMINIO"/>
    <x v="0"/>
    <m/>
    <m/>
    <n v="3189"/>
    <n v="2774.43"/>
    <n v="3121.2337499999999"/>
  </r>
  <r>
    <x v="5"/>
    <x v="0"/>
    <x v="5"/>
    <x v="303"/>
    <x v="0"/>
    <x v="0"/>
    <n v="46.18"/>
    <n v="2.2400000000000002"/>
    <x v="5"/>
    <s v="DOMINIO"/>
    <x v="0"/>
    <m/>
    <m/>
    <n v="3213"/>
    <n v="2795.31"/>
    <n v="3144.7237499999997"/>
  </r>
  <r>
    <x v="5"/>
    <x v="0"/>
    <x v="5"/>
    <x v="356"/>
    <x v="0"/>
    <x v="0"/>
    <n v="46.18"/>
    <n v="2.2400000000000002"/>
    <x v="5"/>
    <s v="DOMINIO"/>
    <x v="0"/>
    <m/>
    <m/>
    <n v="3213"/>
    <n v="2795.31"/>
    <n v="3144.7237499999997"/>
  </r>
  <r>
    <x v="5"/>
    <x v="0"/>
    <x v="5"/>
    <x v="0"/>
    <x v="0"/>
    <x v="0"/>
    <n v="46.56"/>
    <n v="2.2400000000000002"/>
    <x v="5"/>
    <s v="DOMINIO"/>
    <x v="0"/>
    <m/>
    <m/>
    <n v="3213"/>
    <n v="2795.31"/>
    <n v="3144.7237499999997"/>
  </r>
  <r>
    <x v="5"/>
    <x v="0"/>
    <x v="5"/>
    <x v="474"/>
    <x v="0"/>
    <x v="0"/>
    <n v="46.18"/>
    <n v="2.2400000000000002"/>
    <x v="6"/>
    <s v="DOMINIO"/>
    <x v="0"/>
    <m/>
    <m/>
    <n v="3131"/>
    <n v="2723.97"/>
    <n v="3064.4662499999995"/>
  </r>
  <r>
    <x v="5"/>
    <x v="0"/>
    <x v="5"/>
    <x v="515"/>
    <x v="4"/>
    <x v="0"/>
    <n v="46.59"/>
    <n v="2.2400000000000002"/>
    <x v="8"/>
    <s v="DOMINIO"/>
    <x v="0"/>
    <m/>
    <m/>
    <n v="3201"/>
    <n v="2784.87"/>
    <n v="3132.9787499999998"/>
  </r>
  <r>
    <x v="5"/>
    <x v="0"/>
    <x v="5"/>
    <x v="305"/>
    <x v="4"/>
    <x v="0"/>
    <n v="46.59"/>
    <n v="2.2400000000000002"/>
    <x v="7"/>
    <s v="DOMINIO"/>
    <x v="0"/>
    <m/>
    <m/>
    <n v="3178"/>
    <n v="2764.86"/>
    <n v="3110.4675000000002"/>
  </r>
  <r>
    <x v="5"/>
    <x v="0"/>
    <x v="5"/>
    <x v="310"/>
    <x v="4"/>
    <x v="0"/>
    <n v="46.18"/>
    <n v="2.2400000000000002"/>
    <x v="5"/>
    <s v="DOMINIO"/>
    <x v="0"/>
    <m/>
    <m/>
    <n v="3225"/>
    <n v="2805.75"/>
    <n v="3156.46875"/>
  </r>
  <r>
    <x v="5"/>
    <x v="0"/>
    <x v="5"/>
    <x v="359"/>
    <x v="4"/>
    <x v="0"/>
    <n v="46.18"/>
    <n v="2.2400000000000002"/>
    <x v="5"/>
    <s v="DOMINIO"/>
    <x v="0"/>
    <m/>
    <m/>
    <n v="3225"/>
    <n v="2805.75"/>
    <n v="3156.46875"/>
  </r>
  <r>
    <x v="5"/>
    <x v="0"/>
    <x v="5"/>
    <x v="251"/>
    <x v="4"/>
    <x v="0"/>
    <n v="46.56"/>
    <n v="2.2400000000000002"/>
    <x v="5"/>
    <s v="DOMINIO"/>
    <x v="0"/>
    <m/>
    <m/>
    <n v="3225"/>
    <n v="2805.75"/>
    <n v="3156.46875"/>
  </r>
  <r>
    <x v="5"/>
    <x v="0"/>
    <x v="5"/>
    <x v="516"/>
    <x v="4"/>
    <x v="0"/>
    <n v="46.56"/>
    <n v="2.2400000000000002"/>
    <x v="6"/>
    <s v="DOMINIO"/>
    <x v="0"/>
    <m/>
    <m/>
    <n v="3142"/>
    <n v="2733.54"/>
    <n v="3075.2325000000001"/>
  </r>
  <r>
    <x v="5"/>
    <x v="0"/>
    <x v="5"/>
    <x v="517"/>
    <x v="4"/>
    <x v="0"/>
    <n v="46.18"/>
    <n v="2.2400000000000002"/>
    <x v="6"/>
    <s v="DOMINIO"/>
    <x v="0"/>
    <m/>
    <m/>
    <n v="3142"/>
    <n v="2733.54"/>
    <n v="3075.2325000000001"/>
  </r>
  <r>
    <x v="5"/>
    <x v="0"/>
    <x v="5"/>
    <x v="531"/>
    <x v="7"/>
    <x v="0"/>
    <n v="46.59"/>
    <n v="2.2400000000000002"/>
    <x v="8"/>
    <s v="DOMINIO"/>
    <x v="0"/>
    <m/>
    <m/>
    <n v="3213"/>
    <n v="2795.31"/>
    <n v="3144.7237499999997"/>
  </r>
  <r>
    <x v="5"/>
    <x v="0"/>
    <x v="5"/>
    <x v="313"/>
    <x v="7"/>
    <x v="0"/>
    <n v="46.59"/>
    <n v="2.2400000000000002"/>
    <x v="7"/>
    <s v="DOMINIO"/>
    <x v="0"/>
    <m/>
    <m/>
    <n v="3189"/>
    <n v="2774.43"/>
    <n v="3121.2337499999999"/>
  </r>
  <r>
    <x v="5"/>
    <x v="0"/>
    <x v="5"/>
    <x v="532"/>
    <x v="7"/>
    <x v="0"/>
    <n v="46.18"/>
    <n v="2.2400000000000002"/>
    <x v="7"/>
    <s v="DOMINIO"/>
    <x v="0"/>
    <m/>
    <m/>
    <n v="3189"/>
    <n v="2774.43"/>
    <n v="3121.2337499999999"/>
  </r>
  <r>
    <x v="5"/>
    <x v="0"/>
    <x v="5"/>
    <x v="317"/>
    <x v="7"/>
    <x v="0"/>
    <n v="46.18"/>
    <n v="2.2400000000000002"/>
    <x v="5"/>
    <s v="DOMINIO"/>
    <x v="0"/>
    <m/>
    <m/>
    <n v="3236"/>
    <n v="2815.32"/>
    <n v="3167.2349999999997"/>
  </r>
  <r>
    <x v="5"/>
    <x v="0"/>
    <x v="5"/>
    <x v="252"/>
    <x v="7"/>
    <x v="0"/>
    <n v="46.18"/>
    <n v="2.2400000000000002"/>
    <x v="5"/>
    <s v="DOMINIO"/>
    <x v="0"/>
    <m/>
    <m/>
    <n v="3236"/>
    <n v="2815.32"/>
    <n v="3167.2349999999997"/>
  </r>
  <r>
    <x v="5"/>
    <x v="0"/>
    <x v="5"/>
    <x v="318"/>
    <x v="7"/>
    <x v="0"/>
    <n v="46.56"/>
    <n v="2.2400000000000002"/>
    <x v="5"/>
    <s v="DOMINIO"/>
    <x v="0"/>
    <m/>
    <m/>
    <n v="3236"/>
    <n v="2815.32"/>
    <n v="3167.2349999999997"/>
  </r>
  <r>
    <x v="5"/>
    <x v="0"/>
    <x v="5"/>
    <x v="555"/>
    <x v="7"/>
    <x v="0"/>
    <n v="46.56"/>
    <n v="2.2400000000000002"/>
    <x v="6"/>
    <s v="DOMINIO"/>
    <x v="0"/>
    <m/>
    <m/>
    <n v="3154"/>
    <n v="2743.98"/>
    <n v="3086.9774999999995"/>
  </r>
  <r>
    <x v="5"/>
    <x v="0"/>
    <x v="5"/>
    <x v="407"/>
    <x v="7"/>
    <x v="0"/>
    <n v="46.18"/>
    <n v="2.2400000000000002"/>
    <x v="6"/>
    <s v="DOMINIO"/>
    <x v="0"/>
    <m/>
    <m/>
    <n v="3154"/>
    <n v="2743.98"/>
    <n v="3086.9774999999995"/>
  </r>
  <r>
    <x v="5"/>
    <x v="0"/>
    <x v="5"/>
    <x v="321"/>
    <x v="8"/>
    <x v="0"/>
    <n v="46.59"/>
    <n v="2.2400000000000002"/>
    <x v="7"/>
    <s v="DOMINIO"/>
    <x v="0"/>
    <m/>
    <m/>
    <n v="3201"/>
    <n v="2784.87"/>
    <n v="3132.9787499999998"/>
  </r>
  <r>
    <x v="5"/>
    <x v="0"/>
    <x v="5"/>
    <x v="380"/>
    <x v="8"/>
    <x v="0"/>
    <n v="46.18"/>
    <n v="2.2400000000000002"/>
    <x v="7"/>
    <s v="DOMINIO"/>
    <x v="0"/>
    <m/>
    <m/>
    <n v="3201"/>
    <n v="2784.87"/>
    <n v="3132.9787499999998"/>
  </r>
  <r>
    <x v="5"/>
    <x v="0"/>
    <x v="5"/>
    <x v="390"/>
    <x v="8"/>
    <x v="0"/>
    <n v="47.37"/>
    <n v="2.37"/>
    <x v="5"/>
    <s v="DOMINIO"/>
    <x v="0"/>
    <m/>
    <m/>
    <n v="3248"/>
    <n v="2825.7599999999998"/>
    <n v="3178.9799999999996"/>
  </r>
  <r>
    <x v="5"/>
    <x v="0"/>
    <x v="5"/>
    <x v="325"/>
    <x v="8"/>
    <x v="0"/>
    <n v="46.18"/>
    <n v="2.2400000000000002"/>
    <x v="5"/>
    <s v="DOMINIO"/>
    <x v="0"/>
    <m/>
    <m/>
    <n v="3248"/>
    <n v="2825.7599999999998"/>
    <n v="3178.9799999999996"/>
  </r>
  <r>
    <x v="5"/>
    <x v="0"/>
    <x v="5"/>
    <x v="362"/>
    <x v="8"/>
    <x v="0"/>
    <n v="46.18"/>
    <n v="2.2400000000000002"/>
    <x v="5"/>
    <s v="DOMINIO"/>
    <x v="0"/>
    <m/>
    <m/>
    <n v="3248"/>
    <n v="2825.7599999999998"/>
    <n v="3178.9799999999996"/>
  </r>
  <r>
    <x v="5"/>
    <x v="0"/>
    <x v="5"/>
    <x v="326"/>
    <x v="8"/>
    <x v="0"/>
    <n v="46.56"/>
    <n v="2.2400000000000002"/>
    <x v="5"/>
    <s v="DOMINIO"/>
    <x v="0"/>
    <m/>
    <m/>
    <n v="3248"/>
    <n v="2825.7599999999998"/>
    <n v="3178.9799999999996"/>
  </r>
  <r>
    <x v="5"/>
    <x v="0"/>
    <x v="5"/>
    <x v="556"/>
    <x v="8"/>
    <x v="0"/>
    <n v="46.18"/>
    <n v="2.2400000000000002"/>
    <x v="6"/>
    <s v="DOMINIO"/>
    <x v="0"/>
    <m/>
    <m/>
    <n v="3166"/>
    <n v="2754.42"/>
    <n v="3098.7224999999999"/>
  </r>
  <r>
    <x v="5"/>
    <x v="0"/>
    <x v="5"/>
    <x v="391"/>
    <x v="9"/>
    <x v="0"/>
    <n v="46.59"/>
    <n v="2.2400000000000002"/>
    <x v="8"/>
    <s v="DOMINIO"/>
    <x v="0"/>
    <m/>
    <m/>
    <n v="3236"/>
    <n v="2815.32"/>
    <n v="3167.2349999999997"/>
  </r>
  <r>
    <x v="5"/>
    <x v="0"/>
    <x v="5"/>
    <x v="329"/>
    <x v="9"/>
    <x v="0"/>
    <n v="46.59"/>
    <n v="2.2400000000000002"/>
    <x v="7"/>
    <s v="DOMINIO"/>
    <x v="0"/>
    <m/>
    <m/>
    <n v="3213"/>
    <n v="2795.31"/>
    <n v="3144.7237499999997"/>
  </r>
  <r>
    <x v="5"/>
    <x v="0"/>
    <x v="5"/>
    <x v="239"/>
    <x v="9"/>
    <x v="0"/>
    <n v="46.18"/>
    <n v="2.2400000000000002"/>
    <x v="7"/>
    <s v="DOMINIO"/>
    <x v="0"/>
    <m/>
    <m/>
    <n v="3213"/>
    <n v="2795.31"/>
    <n v="3144.7237499999997"/>
  </r>
  <r>
    <x v="5"/>
    <x v="0"/>
    <x v="5"/>
    <x v="392"/>
    <x v="9"/>
    <x v="0"/>
    <n v="47.37"/>
    <n v="2.37"/>
    <x v="5"/>
    <s v="DOMINIO"/>
    <x v="0"/>
    <m/>
    <m/>
    <n v="3260"/>
    <n v="2836.2"/>
    <n v="3190.7249999999999"/>
  </r>
  <r>
    <x v="5"/>
    <x v="0"/>
    <x v="5"/>
    <x v="333"/>
    <x v="9"/>
    <x v="0"/>
    <n v="46.18"/>
    <n v="2.2400000000000002"/>
    <x v="5"/>
    <s v="DOMINIO"/>
    <x v="0"/>
    <m/>
    <m/>
    <n v="3260"/>
    <n v="2836.2"/>
    <n v="3190.7249999999999"/>
  </r>
  <r>
    <x v="5"/>
    <x v="0"/>
    <x v="5"/>
    <x v="363"/>
    <x v="9"/>
    <x v="0"/>
    <n v="46.18"/>
    <n v="2.2400000000000002"/>
    <x v="5"/>
    <s v="DOMINIO"/>
    <x v="0"/>
    <m/>
    <m/>
    <n v="3260"/>
    <n v="2836.2"/>
    <n v="3190.7249999999999"/>
  </r>
  <r>
    <x v="5"/>
    <x v="0"/>
    <x v="5"/>
    <x v="334"/>
    <x v="9"/>
    <x v="0"/>
    <n v="46.56"/>
    <n v="2.2400000000000002"/>
    <x v="5"/>
    <s v="DOMINIO"/>
    <x v="0"/>
    <m/>
    <m/>
    <n v="3260"/>
    <n v="2836.2"/>
    <n v="3190.7249999999999"/>
  </r>
  <r>
    <x v="5"/>
    <x v="0"/>
    <x v="5"/>
    <x v="409"/>
    <x v="9"/>
    <x v="0"/>
    <n v="46.56"/>
    <n v="2.2400000000000002"/>
    <x v="6"/>
    <s v="DOMINIO"/>
    <x v="0"/>
    <m/>
    <m/>
    <n v="3178"/>
    <n v="2764.86"/>
    <n v="3110.4675000000002"/>
  </r>
  <r>
    <x v="5"/>
    <x v="0"/>
    <x v="5"/>
    <x v="410"/>
    <x v="9"/>
    <x v="0"/>
    <n v="46.18"/>
    <n v="2.2400000000000002"/>
    <x v="6"/>
    <s v="DOMINIO"/>
    <x v="0"/>
    <m/>
    <m/>
    <n v="3178"/>
    <n v="2764.86"/>
    <n v="3110.4675000000002"/>
  </r>
  <r>
    <x v="5"/>
    <x v="0"/>
    <x v="5"/>
    <x v="6"/>
    <x v="5"/>
    <x v="0"/>
    <n v="46.59"/>
    <n v="2.2400000000000002"/>
    <x v="8"/>
    <s v="DOMINIO"/>
    <x v="2"/>
    <m/>
    <s v="Assetplan con Est. 79"/>
    <n v="3248"/>
    <n v="2825.7599999999998"/>
    <n v="3178.9799999999996"/>
  </r>
  <r>
    <x v="5"/>
    <x v="0"/>
    <x v="5"/>
    <x v="18"/>
    <x v="5"/>
    <x v="0"/>
    <n v="46.59"/>
    <n v="2.2400000000000002"/>
    <x v="7"/>
    <s v="DOMINIO"/>
    <x v="2"/>
    <m/>
    <s v="Assetplan con Est. 80"/>
    <n v="3225"/>
    <n v="2805.75"/>
    <n v="3156.46875"/>
  </r>
  <r>
    <x v="5"/>
    <x v="0"/>
    <x v="5"/>
    <x v="382"/>
    <x v="5"/>
    <x v="0"/>
    <n v="46.18"/>
    <n v="2.2400000000000002"/>
    <x v="7"/>
    <s v="DOMINIO"/>
    <x v="2"/>
    <m/>
    <s v="Assetplan con Est. 83"/>
    <n v="3225"/>
    <n v="2805.75"/>
    <n v="3156.46875"/>
  </r>
  <r>
    <x v="5"/>
    <x v="0"/>
    <x v="5"/>
    <x v="266"/>
    <x v="5"/>
    <x v="0"/>
    <n v="47.37"/>
    <n v="2.37"/>
    <x v="5"/>
    <s v="DOMINIO"/>
    <x v="2"/>
    <m/>
    <s v="Assetplan con Est. 87"/>
    <n v="3272"/>
    <n v="2846.64"/>
    <n v="3202.4699999999993"/>
  </r>
  <r>
    <x v="5"/>
    <x v="0"/>
    <x v="5"/>
    <x v="267"/>
    <x v="5"/>
    <x v="0"/>
    <n v="46.18"/>
    <n v="2.2400000000000002"/>
    <x v="5"/>
    <s v="DOMINIO"/>
    <x v="2"/>
    <m/>
    <s v="Assetplan con Est. 88"/>
    <n v="3272"/>
    <n v="2846.64"/>
    <n v="3202.4699999999993"/>
  </r>
  <r>
    <x v="5"/>
    <x v="0"/>
    <x v="5"/>
    <x v="364"/>
    <x v="5"/>
    <x v="0"/>
    <n v="46.18"/>
    <n v="2.2400000000000002"/>
    <x v="5"/>
    <s v="DOMINIO"/>
    <x v="2"/>
    <m/>
    <s v="Assetplan con Est. 90"/>
    <n v="3272"/>
    <n v="2846.64"/>
    <n v="3202.4699999999993"/>
  </r>
  <r>
    <x v="5"/>
    <x v="0"/>
    <x v="5"/>
    <x v="340"/>
    <x v="5"/>
    <x v="0"/>
    <n v="46.56"/>
    <n v="2.2400000000000002"/>
    <x v="5"/>
    <s v="DOMINIO"/>
    <x v="2"/>
    <m/>
    <s v="Assetplan con Est. 91"/>
    <n v="3272"/>
    <n v="2846.64"/>
    <n v="3202.4699999999993"/>
  </r>
  <r>
    <x v="5"/>
    <x v="0"/>
    <x v="5"/>
    <x v="268"/>
    <x v="5"/>
    <x v="0"/>
    <n v="46.56"/>
    <n v="2.2400000000000002"/>
    <x v="6"/>
    <s v="DOMINIO"/>
    <x v="2"/>
    <m/>
    <s v="Assetplan con Est. 92"/>
    <n v="3189"/>
    <n v="2774.43"/>
    <n v="3121.2337499999999"/>
  </r>
  <r>
    <x v="5"/>
    <x v="0"/>
    <x v="5"/>
    <x v="557"/>
    <x v="5"/>
    <x v="0"/>
    <n v="46.18"/>
    <n v="2.2400000000000002"/>
    <x v="6"/>
    <s v="DOMINIO"/>
    <x v="2"/>
    <m/>
    <s v="Assetplan con Est. 93"/>
    <n v="3189"/>
    <n v="2774.43"/>
    <n v="3121.2337499999999"/>
  </r>
  <r>
    <x v="5"/>
    <x v="0"/>
    <x v="5"/>
    <x v="384"/>
    <x v="10"/>
    <x v="0"/>
    <n v="46.18"/>
    <n v="2.2400000000000002"/>
    <x v="7"/>
    <s v="DOMINIO"/>
    <x v="0"/>
    <m/>
    <m/>
    <n v="3236"/>
    <n v="2815.32"/>
    <n v="3167.2349999999997"/>
  </r>
  <r>
    <x v="5"/>
    <x v="0"/>
    <x v="5"/>
    <x v="394"/>
    <x v="10"/>
    <x v="0"/>
    <n v="47.37"/>
    <n v="2.37"/>
    <x v="5"/>
    <s v="DOMINIO"/>
    <x v="0"/>
    <m/>
    <m/>
    <n v="3284"/>
    <n v="2857.08"/>
    <n v="3214.2149999999997"/>
  </r>
  <r>
    <x v="5"/>
    <x v="0"/>
    <x v="5"/>
    <x v="25"/>
    <x v="10"/>
    <x v="0"/>
    <n v="46.18"/>
    <n v="2.2400000000000002"/>
    <x v="5"/>
    <s v="DOMINIO"/>
    <x v="0"/>
    <m/>
    <m/>
    <n v="3284"/>
    <n v="2857.08"/>
    <n v="3214.2149999999997"/>
  </r>
  <r>
    <x v="5"/>
    <x v="0"/>
    <x v="5"/>
    <x v="366"/>
    <x v="10"/>
    <x v="0"/>
    <n v="46.18"/>
    <n v="2.2400000000000002"/>
    <x v="5"/>
    <s v="DOMINIO"/>
    <x v="0"/>
    <m/>
    <m/>
    <n v="3284"/>
    <n v="2857.08"/>
    <n v="3214.2149999999997"/>
  </r>
  <r>
    <x v="5"/>
    <x v="0"/>
    <x v="5"/>
    <x v="344"/>
    <x v="10"/>
    <x v="0"/>
    <n v="46.56"/>
    <n v="2.2400000000000002"/>
    <x v="5"/>
    <s v="DOMINIO"/>
    <x v="0"/>
    <m/>
    <m/>
    <n v="3284"/>
    <n v="2857.08"/>
    <n v="3214.2149999999997"/>
  </r>
  <r>
    <x v="5"/>
    <x v="0"/>
    <x v="5"/>
    <x v="411"/>
    <x v="10"/>
    <x v="0"/>
    <n v="46.56"/>
    <n v="2.2400000000000002"/>
    <x v="6"/>
    <s v="DOMINIO"/>
    <x v="0"/>
    <m/>
    <m/>
    <n v="3201"/>
    <n v="2784.87"/>
    <n v="3132.9787499999998"/>
  </r>
  <r>
    <x v="5"/>
    <x v="0"/>
    <x v="5"/>
    <x v="412"/>
    <x v="10"/>
    <x v="0"/>
    <n v="46.18"/>
    <n v="2.2400000000000002"/>
    <x v="6"/>
    <s v="DOMINIO"/>
    <x v="0"/>
    <m/>
    <m/>
    <n v="3201"/>
    <n v="2784.87"/>
    <n v="3132.9787499999998"/>
  </r>
  <r>
    <x v="5"/>
    <x v="0"/>
    <x v="5"/>
    <x v="395"/>
    <x v="11"/>
    <x v="0"/>
    <n v="46.59"/>
    <n v="2.2400000000000002"/>
    <x v="8"/>
    <s v="DOMINIO"/>
    <x v="0"/>
    <m/>
    <m/>
    <n v="3272"/>
    <n v="2846.64"/>
    <n v="3202.4699999999993"/>
  </r>
  <r>
    <x v="5"/>
    <x v="0"/>
    <x v="5"/>
    <x v="386"/>
    <x v="11"/>
    <x v="0"/>
    <n v="46.18"/>
    <n v="2.2400000000000002"/>
    <x v="7"/>
    <s v="DOMINIO"/>
    <x v="0"/>
    <m/>
    <m/>
    <n v="3248"/>
    <n v="2825.7599999999998"/>
    <n v="3178.9799999999996"/>
  </r>
  <r>
    <x v="5"/>
    <x v="0"/>
    <x v="5"/>
    <x v="396"/>
    <x v="11"/>
    <x v="0"/>
    <n v="47.37"/>
    <n v="2.37"/>
    <x v="5"/>
    <s v="DOMINIO"/>
    <x v="0"/>
    <m/>
    <m/>
    <n v="3295"/>
    <n v="2866.65"/>
    <n v="3224.9812499999998"/>
  </r>
  <r>
    <x v="5"/>
    <x v="0"/>
    <x v="5"/>
    <x v="368"/>
    <x v="11"/>
    <x v="0"/>
    <n v="46.18"/>
    <n v="2.2400000000000002"/>
    <x v="5"/>
    <s v="DOMINIO"/>
    <x v="0"/>
    <m/>
    <m/>
    <n v="3295"/>
    <n v="2866.65"/>
    <n v="3224.9812499999998"/>
  </r>
  <r>
    <x v="5"/>
    <x v="0"/>
    <x v="5"/>
    <x v="350"/>
    <x v="11"/>
    <x v="0"/>
    <n v="46.56"/>
    <n v="2.2400000000000002"/>
    <x v="5"/>
    <s v="DOMINIO"/>
    <x v="0"/>
    <m/>
    <m/>
    <n v="3295"/>
    <n v="2866.65"/>
    <n v="3224.9812499999998"/>
  </r>
  <r>
    <x v="5"/>
    <x v="0"/>
    <x v="5"/>
    <x v="413"/>
    <x v="11"/>
    <x v="0"/>
    <n v="46.56"/>
    <n v="2.2400000000000002"/>
    <x v="6"/>
    <s v="DOMINIO"/>
    <x v="0"/>
    <m/>
    <m/>
    <n v="3213"/>
    <n v="2795.31"/>
    <n v="3144.7237499999997"/>
  </r>
  <r>
    <x v="5"/>
    <x v="0"/>
    <x v="5"/>
    <x v="414"/>
    <x v="11"/>
    <x v="0"/>
    <n v="46.18"/>
    <n v="2.2400000000000002"/>
    <x v="6"/>
    <s v="DOMINIO"/>
    <x v="0"/>
    <m/>
    <m/>
    <n v="3213"/>
    <n v="2795.31"/>
    <n v="3144.7237499999997"/>
  </r>
  <r>
    <x v="5"/>
    <x v="0"/>
    <x v="5"/>
    <x v="558"/>
    <x v="12"/>
    <x v="0"/>
    <n v="46.59"/>
    <n v="2.2400000000000002"/>
    <x v="8"/>
    <s v="DOMINIO"/>
    <x v="0"/>
    <m/>
    <m/>
    <n v="3278"/>
    <n v="2851.86"/>
    <n v="3208.3424999999997"/>
  </r>
  <r>
    <x v="5"/>
    <x v="0"/>
    <x v="5"/>
    <x v="31"/>
    <x v="12"/>
    <x v="0"/>
    <n v="46.59"/>
    <n v="2.2400000000000002"/>
    <x v="7"/>
    <s v="DOMINIO"/>
    <x v="0"/>
    <m/>
    <m/>
    <n v="3254"/>
    <n v="2830.98"/>
    <n v="3184.8525"/>
  </r>
  <r>
    <x v="5"/>
    <x v="0"/>
    <x v="5"/>
    <x v="559"/>
    <x v="12"/>
    <x v="0"/>
    <n v="46.18"/>
    <n v="2.2400000000000002"/>
    <x v="7"/>
    <s v="DOMINIO"/>
    <x v="0"/>
    <m/>
    <m/>
    <n v="3254"/>
    <n v="2830.98"/>
    <n v="3184.8525"/>
  </r>
  <r>
    <x v="5"/>
    <x v="0"/>
    <x v="5"/>
    <x v="560"/>
    <x v="12"/>
    <x v="0"/>
    <n v="47.37"/>
    <n v="2.37"/>
    <x v="5"/>
    <s v="DOMINIO"/>
    <x v="0"/>
    <m/>
    <m/>
    <n v="3301"/>
    <n v="2871.87"/>
    <n v="3230.8537499999998"/>
  </r>
  <r>
    <x v="5"/>
    <x v="0"/>
    <x v="5"/>
    <x v="34"/>
    <x v="12"/>
    <x v="0"/>
    <n v="46.18"/>
    <n v="2.2400000000000002"/>
    <x v="5"/>
    <s v="DOMINIO"/>
    <x v="0"/>
    <m/>
    <m/>
    <n v="3301"/>
    <n v="2871.87"/>
    <n v="3230.8537499999998"/>
  </r>
  <r>
    <x v="5"/>
    <x v="0"/>
    <x v="5"/>
    <x v="415"/>
    <x v="12"/>
    <x v="0"/>
    <n v="46.18"/>
    <n v="2.2400000000000002"/>
    <x v="5"/>
    <s v="DOMINIO"/>
    <x v="0"/>
    <m/>
    <m/>
    <n v="3301"/>
    <n v="2871.87"/>
    <n v="3230.8537499999998"/>
  </r>
  <r>
    <x v="5"/>
    <x v="0"/>
    <x v="5"/>
    <x v="416"/>
    <x v="12"/>
    <x v="0"/>
    <n v="46.56"/>
    <n v="2.2400000000000002"/>
    <x v="5"/>
    <s v="DOMINIO"/>
    <x v="0"/>
    <m/>
    <m/>
    <n v="3301"/>
    <n v="2871.87"/>
    <n v="3230.8537499999998"/>
  </r>
  <r>
    <x v="5"/>
    <x v="0"/>
    <x v="5"/>
    <x v="561"/>
    <x v="12"/>
    <x v="0"/>
    <n v="46.56"/>
    <n v="2.2400000000000002"/>
    <x v="6"/>
    <s v="DOMINIO"/>
    <x v="0"/>
    <m/>
    <m/>
    <n v="3219"/>
    <n v="2800.53"/>
    <n v="3150.5962500000001"/>
  </r>
  <r>
    <x v="5"/>
    <x v="0"/>
    <x v="5"/>
    <x v="562"/>
    <x v="12"/>
    <x v="0"/>
    <n v="46.18"/>
    <n v="2.2400000000000002"/>
    <x v="6"/>
    <s v="DOMINIO"/>
    <x v="0"/>
    <m/>
    <m/>
    <n v="3219"/>
    <n v="2800.53"/>
    <n v="3150.5962500000001"/>
  </r>
  <r>
    <x v="5"/>
    <x v="0"/>
    <x v="5"/>
    <x v="563"/>
    <x v="13"/>
    <x v="0"/>
    <n v="46.59"/>
    <n v="2.2400000000000002"/>
    <x v="8"/>
    <s v="DOMINIO"/>
    <x v="2"/>
    <m/>
    <s v="Assetplan"/>
    <n v="3284"/>
    <n v="2857.08"/>
    <n v="3214.2149999999997"/>
  </r>
  <r>
    <x v="5"/>
    <x v="0"/>
    <x v="5"/>
    <x v="36"/>
    <x v="13"/>
    <x v="0"/>
    <n v="46.59"/>
    <n v="2.2400000000000002"/>
    <x v="7"/>
    <s v="DOMINIO"/>
    <x v="2"/>
    <m/>
    <s v="Assetplan con Est. 86"/>
    <n v="3260"/>
    <n v="2836.2"/>
    <n v="3190.7249999999999"/>
  </r>
  <r>
    <x v="5"/>
    <x v="0"/>
    <x v="5"/>
    <x v="564"/>
    <x v="13"/>
    <x v="0"/>
    <n v="46.18"/>
    <n v="2.2400000000000002"/>
    <x v="7"/>
    <s v="DOMINIO"/>
    <x v="2"/>
    <m/>
    <s v="Assetplan con Est. 94"/>
    <n v="3260"/>
    <n v="2836.2"/>
    <n v="3190.7249999999999"/>
  </r>
  <r>
    <x v="5"/>
    <x v="0"/>
    <x v="5"/>
    <x v="565"/>
    <x v="13"/>
    <x v="0"/>
    <n v="47.37"/>
    <n v="2.37"/>
    <x v="5"/>
    <s v="DOMINIO"/>
    <x v="2"/>
    <m/>
    <s v="Assetplan con Est. 81"/>
    <n v="3307"/>
    <n v="2877.09"/>
    <n v="3236.7262500000002"/>
  </r>
  <r>
    <x v="5"/>
    <x v="0"/>
    <x v="5"/>
    <x v="39"/>
    <x v="13"/>
    <x v="0"/>
    <n v="46.18"/>
    <n v="2.2400000000000002"/>
    <x v="5"/>
    <s v="DOMINIO"/>
    <x v="2"/>
    <m/>
    <s v="Assetplan con Est. 82"/>
    <n v="3307"/>
    <n v="2877.09"/>
    <n v="3236.7262500000002"/>
  </r>
  <r>
    <x v="5"/>
    <x v="0"/>
    <x v="5"/>
    <x v="566"/>
    <x v="13"/>
    <x v="0"/>
    <n v="46.18"/>
    <n v="2.2400000000000002"/>
    <x v="5"/>
    <s v="DOMINIO"/>
    <x v="2"/>
    <m/>
    <s v="Assetplan"/>
    <n v="3307"/>
    <n v="2877.09"/>
    <n v="3236.7262500000002"/>
  </r>
  <r>
    <x v="5"/>
    <x v="0"/>
    <x v="5"/>
    <x v="567"/>
    <x v="13"/>
    <x v="0"/>
    <n v="46.56"/>
    <n v="2.2400000000000002"/>
    <x v="5"/>
    <s v="DOMINIO"/>
    <x v="2"/>
    <m/>
    <s v="Assetplan"/>
    <n v="3307"/>
    <n v="2877.09"/>
    <n v="3236.7262500000002"/>
  </r>
  <r>
    <x v="5"/>
    <x v="0"/>
    <x v="5"/>
    <x v="568"/>
    <x v="13"/>
    <x v="0"/>
    <n v="46.56"/>
    <n v="2.2400000000000002"/>
    <x v="6"/>
    <s v="DOMINIO"/>
    <x v="2"/>
    <m/>
    <s v="Assetplan"/>
    <n v="3225"/>
    <n v="2805.75"/>
    <n v="3156.46875"/>
  </r>
  <r>
    <x v="5"/>
    <x v="0"/>
    <x v="5"/>
    <x v="569"/>
    <x v="13"/>
    <x v="0"/>
    <n v="46.18"/>
    <n v="2.2400000000000002"/>
    <x v="6"/>
    <s v="DOMINIO"/>
    <x v="2"/>
    <m/>
    <s v="Assetplan"/>
    <n v="3225"/>
    <n v="2805.75"/>
    <n v="3156.46875"/>
  </r>
  <r>
    <x v="5"/>
    <x v="0"/>
    <x v="5"/>
    <x v="570"/>
    <x v="14"/>
    <x v="0"/>
    <n v="46.59"/>
    <n v="2.2400000000000002"/>
    <x v="8"/>
    <s v="DOMINIO"/>
    <x v="2"/>
    <m/>
    <s v="Assetplan con Est. 101"/>
    <n v="3289"/>
    <n v="2861.43"/>
    <n v="3219.1087499999994"/>
  </r>
  <r>
    <x v="5"/>
    <x v="0"/>
    <x v="5"/>
    <x v="41"/>
    <x v="14"/>
    <x v="0"/>
    <n v="46.59"/>
    <n v="2.2400000000000002"/>
    <x v="7"/>
    <s v="DOMINIO"/>
    <x v="2"/>
    <m/>
    <s v="Assetplan con Est. 100"/>
    <n v="3266"/>
    <n v="2841.42"/>
    <n v="3196.5975000000003"/>
  </r>
  <r>
    <x v="5"/>
    <x v="0"/>
    <x v="5"/>
    <x v="571"/>
    <x v="14"/>
    <x v="0"/>
    <n v="46.18"/>
    <n v="2.2400000000000002"/>
    <x v="7"/>
    <s v="DOMINIO"/>
    <x v="2"/>
    <m/>
    <s v="Assetplan con Est. 103"/>
    <n v="3266"/>
    <n v="2841.42"/>
    <n v="3196.5975000000003"/>
  </r>
  <r>
    <x v="5"/>
    <x v="0"/>
    <x v="5"/>
    <x v="572"/>
    <x v="14"/>
    <x v="0"/>
    <n v="47.37"/>
    <n v="2.37"/>
    <x v="5"/>
    <s v="DOMINIO"/>
    <x v="2"/>
    <m/>
    <s v="Assetplan con Est. 106"/>
    <n v="3313"/>
    <n v="2882.31"/>
    <n v="3242.5987499999997"/>
  </r>
  <r>
    <x v="5"/>
    <x v="0"/>
    <x v="5"/>
    <x v="44"/>
    <x v="14"/>
    <x v="0"/>
    <n v="46.18"/>
    <n v="2.2400000000000002"/>
    <x v="5"/>
    <s v="DOMINIO"/>
    <x v="2"/>
    <m/>
    <s v="Assetplan con Est. 107"/>
    <n v="3313"/>
    <n v="2882.31"/>
    <n v="3242.5987499999997"/>
  </r>
  <r>
    <x v="5"/>
    <x v="0"/>
    <x v="5"/>
    <x v="573"/>
    <x v="14"/>
    <x v="0"/>
    <n v="46.18"/>
    <n v="2.2400000000000002"/>
    <x v="5"/>
    <s v="DOMINIO"/>
    <x v="2"/>
    <m/>
    <s v="Assetplan con Est. 108"/>
    <n v="3313"/>
    <n v="2882.31"/>
    <n v="3242.5987499999997"/>
  </r>
  <r>
    <x v="5"/>
    <x v="0"/>
    <x v="5"/>
    <x v="574"/>
    <x v="14"/>
    <x v="0"/>
    <n v="46.56"/>
    <n v="2.2400000000000002"/>
    <x v="5"/>
    <s v="DOMINIO"/>
    <x v="2"/>
    <m/>
    <s v="Assetplan con Est. 109"/>
    <n v="3313"/>
    <n v="2882.31"/>
    <n v="3242.5987499999997"/>
  </r>
  <r>
    <x v="5"/>
    <x v="0"/>
    <x v="5"/>
    <x v="575"/>
    <x v="14"/>
    <x v="0"/>
    <n v="46.56"/>
    <n v="2.2400000000000002"/>
    <x v="6"/>
    <s v="DOMINIO"/>
    <x v="2"/>
    <m/>
    <s v="Assetplan con Est. 110"/>
    <n v="3231"/>
    <n v="2810.97"/>
    <n v="3162.3412499999995"/>
  </r>
  <r>
    <x v="5"/>
    <x v="0"/>
    <x v="5"/>
    <x v="576"/>
    <x v="14"/>
    <x v="0"/>
    <n v="46.18"/>
    <n v="2.2400000000000002"/>
    <x v="6"/>
    <s v="DOMINIO"/>
    <x v="2"/>
    <m/>
    <s v="Assetplan con Est. 111"/>
    <n v="3231"/>
    <n v="2810.97"/>
    <n v="3162.3412499999995"/>
  </r>
  <r>
    <x v="5"/>
    <x v="0"/>
    <x v="5"/>
    <x v="577"/>
    <x v="15"/>
    <x v="0"/>
    <n v="47.37"/>
    <n v="2.37"/>
    <x v="5"/>
    <s v="DOMINIO"/>
    <x v="0"/>
    <m/>
    <m/>
    <n v="3319"/>
    <n v="2887.53"/>
    <n v="3248.4712500000001"/>
  </r>
  <r>
    <x v="5"/>
    <x v="0"/>
    <x v="5"/>
    <x v="49"/>
    <x v="15"/>
    <x v="0"/>
    <n v="46.18"/>
    <n v="2.2400000000000002"/>
    <x v="5"/>
    <s v="DOMINIO"/>
    <x v="0"/>
    <m/>
    <m/>
    <n v="3319"/>
    <n v="2887.53"/>
    <n v="3248.4712500000001"/>
  </r>
  <r>
    <x v="5"/>
    <x v="0"/>
    <x v="5"/>
    <x v="578"/>
    <x v="15"/>
    <x v="0"/>
    <n v="46.18"/>
    <n v="2.2400000000000002"/>
    <x v="5"/>
    <s v="DOMINIO"/>
    <x v="0"/>
    <m/>
    <m/>
    <n v="3319"/>
    <n v="2887.53"/>
    <n v="3248.4712500000001"/>
  </r>
  <r>
    <x v="5"/>
    <x v="0"/>
    <x v="5"/>
    <x v="579"/>
    <x v="15"/>
    <x v="0"/>
    <n v="46.56"/>
    <n v="2.2400000000000002"/>
    <x v="5"/>
    <s v="DOMINIO"/>
    <x v="0"/>
    <m/>
    <m/>
    <n v="3319"/>
    <n v="2887.53"/>
    <n v="3248.4712500000001"/>
  </r>
  <r>
    <x v="5"/>
    <x v="0"/>
    <x v="5"/>
    <x v="580"/>
    <x v="15"/>
    <x v="0"/>
    <n v="46.56"/>
    <n v="2.2400000000000002"/>
    <x v="6"/>
    <s v="DOMINIO"/>
    <x v="0"/>
    <m/>
    <m/>
    <n v="3236"/>
    <n v="2815.32"/>
    <n v="3167.2349999999997"/>
  </r>
  <r>
    <x v="5"/>
    <x v="0"/>
    <x v="5"/>
    <x v="581"/>
    <x v="15"/>
    <x v="0"/>
    <n v="46.18"/>
    <n v="2.2400000000000002"/>
    <x v="6"/>
    <s v="DOMINIO"/>
    <x v="0"/>
    <m/>
    <m/>
    <n v="3236"/>
    <n v="2815.32"/>
    <n v="3167.2349999999997"/>
  </r>
  <r>
    <x v="5"/>
    <x v="1"/>
    <x v="6"/>
    <x v="104"/>
    <x v="20"/>
    <x v="1"/>
    <n v="6.93"/>
    <n v="0"/>
    <x v="4"/>
    <s v="DOMINIO"/>
    <x v="0"/>
    <m/>
    <m/>
    <n v="120"/>
    <n v="120"/>
    <n v="135"/>
  </r>
  <r>
    <x v="5"/>
    <x v="1"/>
    <x v="6"/>
    <x v="106"/>
    <x v="20"/>
    <x v="1"/>
    <n v="5.15"/>
    <n v="0"/>
    <x v="4"/>
    <s v="DOMINIO"/>
    <x v="0"/>
    <m/>
    <m/>
    <n v="70"/>
    <n v="70"/>
    <n v="78.75"/>
  </r>
  <r>
    <x v="5"/>
    <x v="1"/>
    <x v="6"/>
    <x v="107"/>
    <x v="20"/>
    <x v="1"/>
    <n v="4.34"/>
    <n v="0"/>
    <x v="4"/>
    <s v="DOMINIO"/>
    <x v="0"/>
    <m/>
    <m/>
    <n v="70"/>
    <n v="70"/>
    <n v="78.75"/>
  </r>
  <r>
    <x v="5"/>
    <x v="1"/>
    <x v="6"/>
    <x v="110"/>
    <x v="20"/>
    <x v="1"/>
    <n v="4.34"/>
    <n v="0"/>
    <x v="4"/>
    <s v="DOMINIO"/>
    <x v="0"/>
    <m/>
    <m/>
    <n v="70"/>
    <n v="70"/>
    <n v="78.75"/>
  </r>
  <r>
    <x v="5"/>
    <x v="1"/>
    <x v="6"/>
    <x v="117"/>
    <x v="20"/>
    <x v="1"/>
    <n v="2.84"/>
    <n v="0"/>
    <x v="4"/>
    <s v="DOMINIO"/>
    <x v="0"/>
    <m/>
    <m/>
    <n v="50"/>
    <n v="50"/>
    <n v="56.25"/>
  </r>
  <r>
    <x v="5"/>
    <x v="1"/>
    <x v="6"/>
    <x v="166"/>
    <x v="20"/>
    <x v="1"/>
    <n v="2.84"/>
    <n v="0"/>
    <x v="4"/>
    <s v="DOMINIO"/>
    <x v="0"/>
    <m/>
    <m/>
    <n v="50"/>
    <n v="50"/>
    <n v="56.25"/>
  </r>
  <r>
    <x v="5"/>
    <x v="1"/>
    <x v="6"/>
    <x v="118"/>
    <x v="20"/>
    <x v="1"/>
    <n v="2.84"/>
    <n v="0"/>
    <x v="4"/>
    <s v="DOMINIO"/>
    <x v="0"/>
    <m/>
    <m/>
    <n v="50"/>
    <n v="50"/>
    <n v="56.25"/>
  </r>
  <r>
    <x v="5"/>
    <x v="1"/>
    <x v="6"/>
    <x v="120"/>
    <x v="20"/>
    <x v="1"/>
    <n v="3.53"/>
    <n v="0"/>
    <x v="4"/>
    <s v="DOMINIO"/>
    <x v="0"/>
    <m/>
    <m/>
    <n v="60"/>
    <n v="60"/>
    <n v="67.5"/>
  </r>
  <r>
    <x v="5"/>
    <x v="1"/>
    <x v="6"/>
    <x v="275"/>
    <x v="20"/>
    <x v="1"/>
    <n v="3.38"/>
    <n v="0"/>
    <x v="4"/>
    <s v="DOMINIO"/>
    <x v="0"/>
    <m/>
    <m/>
    <n v="60"/>
    <n v="60"/>
    <n v="67.5"/>
  </r>
  <r>
    <x v="5"/>
    <x v="1"/>
    <x v="6"/>
    <x v="121"/>
    <x v="20"/>
    <x v="1"/>
    <n v="2.56"/>
    <n v="0"/>
    <x v="4"/>
    <s v="DOMINIO"/>
    <x v="0"/>
    <m/>
    <m/>
    <n v="50"/>
    <n v="50"/>
    <n v="56.25"/>
  </r>
  <r>
    <x v="5"/>
    <x v="1"/>
    <x v="6"/>
    <x v="122"/>
    <x v="20"/>
    <x v="1"/>
    <n v="2.57"/>
    <n v="0"/>
    <x v="4"/>
    <s v="DOMINIO"/>
    <x v="0"/>
    <m/>
    <m/>
    <n v="50"/>
    <n v="50"/>
    <n v="56.25"/>
  </r>
  <r>
    <x v="5"/>
    <x v="1"/>
    <x v="6"/>
    <x v="167"/>
    <x v="20"/>
    <x v="1"/>
    <n v="7.91"/>
    <n v="0"/>
    <x v="4"/>
    <s v="DOMINIO"/>
    <x v="0"/>
    <m/>
    <m/>
    <n v="130"/>
    <n v="130"/>
    <n v="146.25"/>
  </r>
  <r>
    <x v="5"/>
    <x v="1"/>
    <x v="6"/>
    <x v="124"/>
    <x v="20"/>
    <x v="1"/>
    <n v="3.81"/>
    <n v="0"/>
    <x v="4"/>
    <s v="DOMINIO"/>
    <x v="0"/>
    <m/>
    <m/>
    <n v="60"/>
    <n v="60"/>
    <n v="67.5"/>
  </r>
  <r>
    <x v="5"/>
    <x v="1"/>
    <x v="6"/>
    <x v="125"/>
    <x v="20"/>
    <x v="1"/>
    <n v="3.22"/>
    <n v="0"/>
    <x v="4"/>
    <s v="DOMINIO"/>
    <x v="0"/>
    <m/>
    <m/>
    <n v="50"/>
    <n v="50"/>
    <n v="56.25"/>
  </r>
  <r>
    <x v="5"/>
    <x v="1"/>
    <x v="6"/>
    <x v="127"/>
    <x v="20"/>
    <x v="1"/>
    <n v="2.57"/>
    <n v="0"/>
    <x v="4"/>
    <s v="DOMINIO"/>
    <x v="0"/>
    <m/>
    <m/>
    <n v="50"/>
    <n v="50"/>
    <n v="56.25"/>
  </r>
  <r>
    <x v="5"/>
    <x v="1"/>
    <x v="6"/>
    <x v="128"/>
    <x v="20"/>
    <x v="1"/>
    <n v="3.81"/>
    <n v="0"/>
    <x v="4"/>
    <s v="DOMINIO"/>
    <x v="0"/>
    <m/>
    <m/>
    <n v="60"/>
    <n v="60"/>
    <n v="67.5"/>
  </r>
  <r>
    <x v="5"/>
    <x v="1"/>
    <x v="6"/>
    <x v="130"/>
    <x v="20"/>
    <x v="1"/>
    <n v="2.56"/>
    <n v="0"/>
    <x v="4"/>
    <s v="DOMINIO"/>
    <x v="0"/>
    <m/>
    <m/>
    <n v="50"/>
    <n v="50"/>
    <n v="56.25"/>
  </r>
  <r>
    <x v="5"/>
    <x v="1"/>
    <x v="6"/>
    <x v="131"/>
    <x v="20"/>
    <x v="1"/>
    <n v="2.57"/>
    <n v="0"/>
    <x v="4"/>
    <s v="DOMINIO"/>
    <x v="0"/>
    <m/>
    <m/>
    <n v="50"/>
    <n v="50"/>
    <n v="56.25"/>
  </r>
  <r>
    <x v="5"/>
    <x v="1"/>
    <x v="6"/>
    <x v="132"/>
    <x v="20"/>
    <x v="1"/>
    <n v="2.54"/>
    <n v="0"/>
    <x v="4"/>
    <s v="DOMINIO"/>
    <x v="0"/>
    <m/>
    <m/>
    <n v="40"/>
    <n v="40"/>
    <n v="45"/>
  </r>
  <r>
    <x v="5"/>
    <x v="1"/>
    <x v="6"/>
    <x v="133"/>
    <x v="20"/>
    <x v="1"/>
    <n v="3.81"/>
    <n v="0"/>
    <x v="4"/>
    <s v="DOMINIO"/>
    <x v="0"/>
    <m/>
    <m/>
    <n v="60"/>
    <n v="60"/>
    <n v="67.5"/>
  </r>
  <r>
    <x v="5"/>
    <x v="1"/>
    <x v="6"/>
    <x v="134"/>
    <x v="20"/>
    <x v="1"/>
    <n v="4.51"/>
    <n v="0"/>
    <x v="4"/>
    <s v="DOMINIO"/>
    <x v="0"/>
    <m/>
    <m/>
    <n v="70"/>
    <n v="70"/>
    <n v="78.75"/>
  </r>
  <r>
    <x v="5"/>
    <x v="1"/>
    <x v="6"/>
    <x v="135"/>
    <x v="20"/>
    <x v="1"/>
    <n v="4.6100000000000003"/>
    <n v="0"/>
    <x v="4"/>
    <s v="DOMINIO"/>
    <x v="0"/>
    <m/>
    <m/>
    <n v="80"/>
    <n v="80"/>
    <n v="90"/>
  </r>
  <r>
    <x v="5"/>
    <x v="1"/>
    <x v="6"/>
    <x v="136"/>
    <x v="20"/>
    <x v="1"/>
    <n v="4.59"/>
    <n v="0"/>
    <x v="4"/>
    <s v="DOMINIO"/>
    <x v="0"/>
    <s v="E - 132"/>
    <m/>
    <n v="80"/>
    <n v="80"/>
    <n v="90"/>
  </r>
  <r>
    <x v="5"/>
    <x v="1"/>
    <x v="6"/>
    <x v="137"/>
    <x v="20"/>
    <x v="1"/>
    <n v="3.76"/>
    <n v="0"/>
    <x v="4"/>
    <s v="DOMINIO"/>
    <x v="0"/>
    <m/>
    <m/>
    <n v="60"/>
    <n v="60"/>
    <n v="67.5"/>
  </r>
  <r>
    <x v="5"/>
    <x v="1"/>
    <x v="6"/>
    <x v="138"/>
    <x v="20"/>
    <x v="1"/>
    <n v="3.57"/>
    <n v="0"/>
    <x v="4"/>
    <s v="DOMINIO"/>
    <x v="0"/>
    <m/>
    <m/>
    <n v="60"/>
    <n v="60"/>
    <n v="67.5"/>
  </r>
  <r>
    <x v="5"/>
    <x v="1"/>
    <x v="6"/>
    <x v="139"/>
    <x v="20"/>
    <x v="1"/>
    <n v="3.74"/>
    <n v="0"/>
    <x v="4"/>
    <s v="DOMINIO"/>
    <x v="0"/>
    <m/>
    <m/>
    <n v="60"/>
    <n v="60"/>
    <n v="67.5"/>
  </r>
  <r>
    <x v="5"/>
    <x v="1"/>
    <x v="6"/>
    <x v="141"/>
    <x v="20"/>
    <x v="1"/>
    <n v="3.59"/>
    <n v="0"/>
    <x v="4"/>
    <s v="DOMINIO"/>
    <x v="0"/>
    <m/>
    <m/>
    <n v="60"/>
    <n v="60"/>
    <n v="67.5"/>
  </r>
  <r>
    <x v="5"/>
    <x v="1"/>
    <x v="6"/>
    <x v="142"/>
    <x v="20"/>
    <x v="1"/>
    <n v="3.74"/>
    <n v="0"/>
    <x v="4"/>
    <s v="DOMINIO"/>
    <x v="0"/>
    <m/>
    <m/>
    <n v="60"/>
    <n v="60"/>
    <n v="67.5"/>
  </r>
  <r>
    <x v="5"/>
    <x v="1"/>
    <x v="6"/>
    <x v="143"/>
    <x v="20"/>
    <x v="1"/>
    <n v="11.6"/>
    <n v="0"/>
    <x v="4"/>
    <s v="DOMINIO"/>
    <x v="0"/>
    <s v="E - 82"/>
    <m/>
    <n v="200"/>
    <n v="200"/>
    <n v="225"/>
  </r>
  <r>
    <x v="5"/>
    <x v="1"/>
    <x v="6"/>
    <x v="144"/>
    <x v="20"/>
    <x v="1"/>
    <n v="7.53"/>
    <n v="0"/>
    <x v="4"/>
    <s v="DOMINIO"/>
    <x v="0"/>
    <s v="E - 86"/>
    <m/>
    <n v="130"/>
    <n v="130"/>
    <n v="146.25"/>
  </r>
  <r>
    <x v="5"/>
    <x v="1"/>
    <x v="6"/>
    <x v="145"/>
    <x v="20"/>
    <x v="1"/>
    <n v="4.09"/>
    <n v="0"/>
    <x v="4"/>
    <s v="DOMINIO"/>
    <x v="0"/>
    <m/>
    <m/>
    <n v="70"/>
    <n v="70"/>
    <n v="78.75"/>
  </r>
  <r>
    <x v="5"/>
    <x v="1"/>
    <x v="6"/>
    <x v="168"/>
    <x v="20"/>
    <x v="1"/>
    <n v="4.6399999999999997"/>
    <n v="0"/>
    <x v="4"/>
    <s v="DOMINIO"/>
    <x v="0"/>
    <m/>
    <m/>
    <n v="80"/>
    <n v="80"/>
    <n v="90"/>
  </r>
  <r>
    <x v="5"/>
    <x v="1"/>
    <x v="6"/>
    <x v="397"/>
    <x v="20"/>
    <x v="1"/>
    <n v="3.44"/>
    <n v="0"/>
    <x v="4"/>
    <s v="DOMINIO"/>
    <x v="0"/>
    <m/>
    <m/>
    <n v="60"/>
    <n v="60"/>
    <n v="67.5"/>
  </r>
  <r>
    <x v="5"/>
    <x v="1"/>
    <x v="6"/>
    <x v="169"/>
    <x v="20"/>
    <x v="1"/>
    <n v="6.69"/>
    <n v="0"/>
    <x v="4"/>
    <s v="DOMINIO"/>
    <x v="0"/>
    <s v="E - 74"/>
    <m/>
    <n v="110"/>
    <n v="110"/>
    <n v="123.75"/>
  </r>
  <r>
    <x v="5"/>
    <x v="1"/>
    <x v="6"/>
    <x v="170"/>
    <x v="20"/>
    <x v="1"/>
    <n v="4.55"/>
    <n v="0"/>
    <x v="4"/>
    <s v="DOMINIO"/>
    <x v="0"/>
    <m/>
    <m/>
    <n v="70"/>
    <n v="70"/>
    <n v="78.75"/>
  </r>
  <r>
    <x v="5"/>
    <x v="1"/>
    <x v="6"/>
    <x v="398"/>
    <x v="20"/>
    <x v="1"/>
    <n v="4.55"/>
    <n v="0"/>
    <x v="4"/>
    <s v="DOMINIO"/>
    <x v="0"/>
    <m/>
    <m/>
    <n v="80"/>
    <n v="80"/>
    <n v="90"/>
  </r>
  <r>
    <x v="5"/>
    <x v="1"/>
    <x v="6"/>
    <x v="171"/>
    <x v="20"/>
    <x v="1"/>
    <n v="10.01"/>
    <n v="0"/>
    <x v="4"/>
    <s v="DOMINIO"/>
    <x v="0"/>
    <s v="E - 92"/>
    <m/>
    <n v="170"/>
    <n v="170"/>
    <n v="191.25"/>
  </r>
  <r>
    <x v="5"/>
    <x v="1"/>
    <x v="6"/>
    <x v="399"/>
    <x v="20"/>
    <x v="1"/>
    <n v="4.55"/>
    <n v="0"/>
    <x v="4"/>
    <s v="DOMINIO"/>
    <x v="0"/>
    <s v="E - 72"/>
    <m/>
    <n v="80"/>
    <n v="80"/>
    <n v="90"/>
  </r>
  <r>
    <x v="5"/>
    <x v="1"/>
    <x v="6"/>
    <x v="172"/>
    <x v="20"/>
    <x v="1"/>
    <n v="4.5599999999999996"/>
    <n v="0"/>
    <x v="4"/>
    <s v="DOMINIO"/>
    <x v="0"/>
    <m/>
    <m/>
    <n v="80"/>
    <n v="80"/>
    <n v="90"/>
  </r>
  <r>
    <x v="5"/>
    <x v="2"/>
    <x v="7"/>
    <x v="106"/>
    <x v="6"/>
    <x v="0"/>
    <n v="12.5"/>
    <n v="0"/>
    <x v="9"/>
    <s v="USO Y GOCE"/>
    <x v="0"/>
    <m/>
    <m/>
    <n v="350"/>
    <n v="350"/>
    <n v="393.75"/>
  </r>
  <r>
    <x v="5"/>
    <x v="2"/>
    <x v="7"/>
    <x v="107"/>
    <x v="6"/>
    <x v="0"/>
    <n v="12.5"/>
    <n v="0"/>
    <x v="9"/>
    <s v="USO Y GOCE"/>
    <x v="0"/>
    <m/>
    <m/>
    <n v="350"/>
    <n v="350"/>
    <n v="393.75"/>
  </r>
  <r>
    <x v="5"/>
    <x v="2"/>
    <x v="7"/>
    <x v="273"/>
    <x v="6"/>
    <x v="0"/>
    <n v="12.5"/>
    <n v="0"/>
    <x v="9"/>
    <s v="USO Y GOCE"/>
    <x v="0"/>
    <m/>
    <m/>
    <n v="350"/>
    <n v="350"/>
    <n v="393.75"/>
  </r>
  <r>
    <x v="5"/>
    <x v="2"/>
    <x v="7"/>
    <x v="108"/>
    <x v="6"/>
    <x v="0"/>
    <n v="12.5"/>
    <n v="0"/>
    <x v="9"/>
    <s v="USO Y GOCE"/>
    <x v="0"/>
    <m/>
    <m/>
    <n v="350"/>
    <n v="350"/>
    <n v="393.75"/>
  </r>
  <r>
    <x v="5"/>
    <x v="2"/>
    <x v="7"/>
    <x v="165"/>
    <x v="6"/>
    <x v="0"/>
    <n v="12.5"/>
    <n v="0"/>
    <x v="9"/>
    <s v="USO Y GOCE"/>
    <x v="0"/>
    <m/>
    <m/>
    <n v="350"/>
    <n v="350"/>
    <n v="393.75"/>
  </r>
  <r>
    <x v="5"/>
    <x v="2"/>
    <x v="7"/>
    <x v="274"/>
    <x v="6"/>
    <x v="0"/>
    <n v="12.5"/>
    <n v="0"/>
    <x v="9"/>
    <s v="USO Y GOCE"/>
    <x v="0"/>
    <m/>
    <m/>
    <n v="350"/>
    <n v="350"/>
    <n v="393.75"/>
  </r>
  <r>
    <x v="5"/>
    <x v="2"/>
    <x v="7"/>
    <x v="110"/>
    <x v="6"/>
    <x v="0"/>
    <n v="12.5"/>
    <n v="0"/>
    <x v="9"/>
    <s v="USO Y GOCE"/>
    <x v="0"/>
    <m/>
    <m/>
    <n v="350"/>
    <n v="350"/>
    <n v="393.75"/>
  </r>
  <r>
    <x v="5"/>
    <x v="2"/>
    <x v="7"/>
    <x v="112"/>
    <x v="6"/>
    <x v="0"/>
    <n v="12.5"/>
    <n v="0"/>
    <x v="9"/>
    <s v="USO Y GOCE"/>
    <x v="0"/>
    <m/>
    <m/>
    <n v="320"/>
    <n v="320"/>
    <n v="360"/>
  </r>
  <r>
    <x v="5"/>
    <x v="2"/>
    <x v="7"/>
    <x v="166"/>
    <x v="6"/>
    <x v="1"/>
    <n v="12.5"/>
    <n v="0"/>
    <x v="9"/>
    <s v="USO Y GOCE"/>
    <x v="1"/>
    <m/>
    <m/>
    <n v="350"/>
    <n v="350"/>
    <n v="393.75"/>
  </r>
  <r>
    <x v="5"/>
    <x v="2"/>
    <x v="7"/>
    <x v="118"/>
    <x v="6"/>
    <x v="1"/>
    <n v="12.5"/>
    <n v="0"/>
    <x v="9"/>
    <s v="USO Y GOCE"/>
    <x v="0"/>
    <m/>
    <m/>
    <n v="350"/>
    <n v="350"/>
    <n v="393.75"/>
  </r>
  <r>
    <x v="5"/>
    <x v="2"/>
    <x v="7"/>
    <x v="275"/>
    <x v="6"/>
    <x v="1"/>
    <n v="12.5"/>
    <n v="0"/>
    <x v="9"/>
    <s v="USO Y GOCE"/>
    <x v="0"/>
    <m/>
    <m/>
    <n v="350"/>
    <n v="350"/>
    <n v="393.75"/>
  </r>
  <r>
    <x v="5"/>
    <x v="2"/>
    <x v="7"/>
    <x v="121"/>
    <x v="6"/>
    <x v="1"/>
    <n v="12.5"/>
    <n v="0"/>
    <x v="9"/>
    <s v="USO Y GOCE"/>
    <x v="0"/>
    <m/>
    <m/>
    <n v="350"/>
    <n v="350"/>
    <n v="393.75"/>
  </r>
  <r>
    <x v="5"/>
    <x v="2"/>
    <x v="7"/>
    <x v="122"/>
    <x v="6"/>
    <x v="1"/>
    <n v="12.5"/>
    <n v="0"/>
    <x v="9"/>
    <s v="USO Y GOCE"/>
    <x v="0"/>
    <m/>
    <m/>
    <n v="350"/>
    <n v="350"/>
    <n v="393.75"/>
  </r>
  <r>
    <x v="5"/>
    <x v="2"/>
    <x v="7"/>
    <x v="123"/>
    <x v="6"/>
    <x v="1"/>
    <n v="12.5"/>
    <n v="0"/>
    <x v="9"/>
    <s v="USO Y GOCE"/>
    <x v="0"/>
    <m/>
    <m/>
    <n v="350"/>
    <n v="350"/>
    <n v="393.75"/>
  </r>
  <r>
    <x v="5"/>
    <x v="2"/>
    <x v="7"/>
    <x v="167"/>
    <x v="6"/>
    <x v="1"/>
    <n v="12.5"/>
    <n v="0"/>
    <x v="9"/>
    <s v="USO Y GOCE"/>
    <x v="0"/>
    <m/>
    <m/>
    <n v="350"/>
    <n v="350"/>
    <n v="393.75"/>
  </r>
  <r>
    <x v="5"/>
    <x v="2"/>
    <x v="7"/>
    <x v="124"/>
    <x v="6"/>
    <x v="1"/>
    <n v="12.5"/>
    <n v="0"/>
    <x v="9"/>
    <s v="USO Y GOCE"/>
    <x v="0"/>
    <m/>
    <m/>
    <n v="350"/>
    <n v="350"/>
    <n v="393.75"/>
  </r>
  <r>
    <x v="5"/>
    <x v="2"/>
    <x v="7"/>
    <x v="125"/>
    <x v="6"/>
    <x v="1"/>
    <n v="12.5"/>
    <n v="0"/>
    <x v="9"/>
    <s v="USO Y GOCE"/>
    <x v="0"/>
    <m/>
    <m/>
    <n v="350"/>
    <n v="350"/>
    <n v="393.75"/>
  </r>
  <r>
    <x v="5"/>
    <x v="2"/>
    <x v="7"/>
    <x v="127"/>
    <x v="6"/>
    <x v="1"/>
    <n v="12.5"/>
    <n v="0"/>
    <x v="9"/>
    <s v="USO Y GOCE"/>
    <x v="0"/>
    <m/>
    <m/>
    <n v="350"/>
    <n v="350"/>
    <n v="393.75"/>
  </r>
  <r>
    <x v="5"/>
    <x v="2"/>
    <x v="7"/>
    <x v="276"/>
    <x v="6"/>
    <x v="1"/>
    <n v="12.5"/>
    <n v="0"/>
    <x v="9"/>
    <s v="USO Y GOCE"/>
    <x v="0"/>
    <m/>
    <m/>
    <n v="350"/>
    <n v="350"/>
    <n v="393.75"/>
  </r>
  <r>
    <x v="5"/>
    <x v="2"/>
    <x v="7"/>
    <x v="129"/>
    <x v="6"/>
    <x v="1"/>
    <n v="12.5"/>
    <n v="0"/>
    <x v="9"/>
    <s v="USO Y GOCE"/>
    <x v="0"/>
    <m/>
    <m/>
    <n v="350"/>
    <n v="350"/>
    <n v="393.75"/>
  </r>
  <r>
    <x v="5"/>
    <x v="2"/>
    <x v="7"/>
    <x v="130"/>
    <x v="6"/>
    <x v="1"/>
    <n v="12.5"/>
    <n v="0"/>
    <x v="9"/>
    <s v="USO Y GOCE"/>
    <x v="0"/>
    <m/>
    <m/>
    <n v="350"/>
    <n v="350"/>
    <n v="393.75"/>
  </r>
  <r>
    <x v="5"/>
    <x v="2"/>
    <x v="7"/>
    <x v="131"/>
    <x v="6"/>
    <x v="1"/>
    <n v="12.5"/>
    <n v="0"/>
    <x v="9"/>
    <s v="USO Y GOCE"/>
    <x v="0"/>
    <m/>
    <m/>
    <n v="350"/>
    <n v="350"/>
    <n v="393.75"/>
  </r>
  <r>
    <x v="5"/>
    <x v="2"/>
    <x v="7"/>
    <x v="132"/>
    <x v="6"/>
    <x v="1"/>
    <n v="12.5"/>
    <n v="0"/>
    <x v="9"/>
    <s v="USO Y GOCE"/>
    <x v="0"/>
    <m/>
    <m/>
    <n v="350"/>
    <n v="350"/>
    <n v="393.75"/>
  </r>
  <r>
    <x v="5"/>
    <x v="2"/>
    <x v="7"/>
    <x v="133"/>
    <x v="6"/>
    <x v="1"/>
    <n v="12.5"/>
    <n v="0"/>
    <x v="9"/>
    <s v="USO Y GOCE"/>
    <x v="0"/>
    <m/>
    <m/>
    <n v="350"/>
    <n v="350"/>
    <n v="393.75"/>
  </r>
  <r>
    <x v="5"/>
    <x v="2"/>
    <x v="7"/>
    <x v="134"/>
    <x v="6"/>
    <x v="1"/>
    <n v="12.5"/>
    <n v="0"/>
    <x v="9"/>
    <s v="USO Y GOCE"/>
    <x v="0"/>
    <m/>
    <m/>
    <n v="350"/>
    <n v="350"/>
    <n v="393.75"/>
  </r>
  <r>
    <x v="5"/>
    <x v="2"/>
    <x v="7"/>
    <x v="135"/>
    <x v="6"/>
    <x v="1"/>
    <n v="12.5"/>
    <n v="0"/>
    <x v="9"/>
    <s v="USO Y GOCE"/>
    <x v="0"/>
    <m/>
    <m/>
    <n v="350"/>
    <n v="350"/>
    <n v="393.75"/>
  </r>
  <r>
    <x v="5"/>
    <x v="2"/>
    <x v="7"/>
    <x v="136"/>
    <x v="6"/>
    <x v="1"/>
    <n v="12.5"/>
    <n v="0"/>
    <x v="9"/>
    <s v="USO Y GOCE"/>
    <x v="0"/>
    <m/>
    <m/>
    <n v="350"/>
    <n v="350"/>
    <n v="393.75"/>
  </r>
  <r>
    <x v="5"/>
    <x v="2"/>
    <x v="7"/>
    <x v="138"/>
    <x v="6"/>
    <x v="1"/>
    <n v="12.5"/>
    <n v="0"/>
    <x v="9"/>
    <s v="USO Y GOCE"/>
    <x v="0"/>
    <m/>
    <m/>
    <n v="350"/>
    <n v="350"/>
    <n v="393.75"/>
  </r>
  <r>
    <x v="5"/>
    <x v="2"/>
    <x v="7"/>
    <x v="139"/>
    <x v="6"/>
    <x v="1"/>
    <n v="12.5"/>
    <n v="0"/>
    <x v="9"/>
    <s v="USO Y GOCE"/>
    <x v="0"/>
    <m/>
    <m/>
    <n v="350"/>
    <n v="350"/>
    <n v="393.75"/>
  </r>
  <r>
    <x v="5"/>
    <x v="2"/>
    <x v="7"/>
    <x v="140"/>
    <x v="6"/>
    <x v="1"/>
    <n v="12.5"/>
    <n v="0"/>
    <x v="9"/>
    <s v="USO Y GOCE"/>
    <x v="0"/>
    <m/>
    <m/>
    <n v="350"/>
    <n v="350"/>
    <n v="393.75"/>
  </r>
  <r>
    <x v="5"/>
    <x v="2"/>
    <x v="7"/>
    <x v="141"/>
    <x v="6"/>
    <x v="1"/>
    <n v="12.5"/>
    <n v="0"/>
    <x v="9"/>
    <s v="USO Y GOCE"/>
    <x v="0"/>
    <m/>
    <m/>
    <n v="350"/>
    <n v="350"/>
    <n v="393.75"/>
  </r>
  <r>
    <x v="5"/>
    <x v="2"/>
    <x v="7"/>
    <x v="142"/>
    <x v="6"/>
    <x v="1"/>
    <n v="12.5"/>
    <n v="0"/>
    <x v="9"/>
    <s v="USO Y GOCE"/>
    <x v="0"/>
    <m/>
    <m/>
    <n v="350"/>
    <n v="350"/>
    <n v="393.75"/>
  </r>
  <r>
    <x v="5"/>
    <x v="2"/>
    <x v="7"/>
    <x v="143"/>
    <x v="6"/>
    <x v="1"/>
    <n v="12.5"/>
    <n v="0"/>
    <x v="9"/>
    <s v="USO Y GOCE"/>
    <x v="0"/>
    <m/>
    <m/>
    <n v="350"/>
    <n v="350"/>
    <n v="393.75"/>
  </r>
  <r>
    <x v="5"/>
    <x v="2"/>
    <x v="7"/>
    <x v="144"/>
    <x v="6"/>
    <x v="1"/>
    <n v="12.5"/>
    <n v="0"/>
    <x v="9"/>
    <s v="USO Y GOCE"/>
    <x v="0"/>
    <m/>
    <m/>
    <n v="350"/>
    <n v="350"/>
    <n v="393.75"/>
  </r>
  <r>
    <x v="5"/>
    <x v="2"/>
    <x v="7"/>
    <x v="145"/>
    <x v="6"/>
    <x v="1"/>
    <n v="12.5"/>
    <n v="0"/>
    <x v="9"/>
    <s v="USO Y GOCE"/>
    <x v="0"/>
    <m/>
    <m/>
    <n v="350"/>
    <n v="350"/>
    <n v="393.75"/>
  </r>
  <r>
    <x v="5"/>
    <x v="2"/>
    <x v="7"/>
    <x v="146"/>
    <x v="6"/>
    <x v="1"/>
    <n v="12.5"/>
    <n v="0"/>
    <x v="9"/>
    <s v="USO Y GOCE"/>
    <x v="0"/>
    <m/>
    <m/>
    <n v="350"/>
    <n v="350"/>
    <n v="393.75"/>
  </r>
  <r>
    <x v="5"/>
    <x v="2"/>
    <x v="7"/>
    <x v="168"/>
    <x v="6"/>
    <x v="1"/>
    <n v="12.5"/>
    <n v="0"/>
    <x v="9"/>
    <s v="USO Y GOCE"/>
    <x v="0"/>
    <m/>
    <m/>
    <n v="350"/>
    <n v="350"/>
    <n v="393.75"/>
  </r>
  <r>
    <x v="5"/>
    <x v="2"/>
    <x v="7"/>
    <x v="169"/>
    <x v="6"/>
    <x v="1"/>
    <n v="12.5"/>
    <n v="0"/>
    <x v="9"/>
    <s v="USO Y GOCE"/>
    <x v="0"/>
    <m/>
    <m/>
    <n v="350"/>
    <n v="350"/>
    <n v="393.75"/>
  </r>
  <r>
    <x v="5"/>
    <x v="2"/>
    <x v="7"/>
    <x v="147"/>
    <x v="20"/>
    <x v="1"/>
    <n v="12.5"/>
    <n v="0"/>
    <x v="4"/>
    <s v="DOMINIO"/>
    <x v="0"/>
    <m/>
    <m/>
    <n v="400"/>
    <n v="400"/>
    <n v="450"/>
  </r>
  <r>
    <x v="5"/>
    <x v="2"/>
    <x v="7"/>
    <x v="174"/>
    <x v="20"/>
    <x v="1"/>
    <n v="12.5"/>
    <n v="0"/>
    <x v="4"/>
    <s v="DOMINIO"/>
    <x v="0"/>
    <m/>
    <m/>
    <n v="400"/>
    <n v="400"/>
    <n v="450"/>
  </r>
  <r>
    <x v="5"/>
    <x v="2"/>
    <x v="7"/>
    <x v="148"/>
    <x v="20"/>
    <x v="1"/>
    <n v="12.5"/>
    <n v="0"/>
    <x v="4"/>
    <s v="DOMINIO"/>
    <x v="0"/>
    <m/>
    <m/>
    <n v="400"/>
    <n v="400"/>
    <n v="450"/>
  </r>
  <r>
    <x v="5"/>
    <x v="2"/>
    <x v="7"/>
    <x v="149"/>
    <x v="20"/>
    <x v="1"/>
    <n v="12.5"/>
    <n v="0"/>
    <x v="4"/>
    <s v="DOMINIO"/>
    <x v="0"/>
    <m/>
    <m/>
    <n v="400"/>
    <n v="400"/>
    <n v="450"/>
  </r>
  <r>
    <x v="5"/>
    <x v="2"/>
    <x v="7"/>
    <x v="175"/>
    <x v="20"/>
    <x v="1"/>
    <n v="12.5"/>
    <n v="0"/>
    <x v="4"/>
    <s v="DOMINIO"/>
    <x v="0"/>
    <m/>
    <m/>
    <n v="400"/>
    <n v="400"/>
    <n v="450"/>
  </r>
  <r>
    <x v="5"/>
    <x v="2"/>
    <x v="7"/>
    <x v="150"/>
    <x v="20"/>
    <x v="1"/>
    <n v="12.5"/>
    <n v="0"/>
    <x v="4"/>
    <s v="DOMINIO"/>
    <x v="0"/>
    <m/>
    <m/>
    <n v="400"/>
    <n v="400"/>
    <n v="450"/>
  </r>
  <r>
    <x v="5"/>
    <x v="2"/>
    <x v="7"/>
    <x v="176"/>
    <x v="20"/>
    <x v="1"/>
    <n v="12.5"/>
    <n v="0"/>
    <x v="4"/>
    <s v="DOMINIO"/>
    <x v="0"/>
    <m/>
    <m/>
    <n v="400"/>
    <n v="400"/>
    <n v="450"/>
  </r>
  <r>
    <x v="5"/>
    <x v="2"/>
    <x v="7"/>
    <x v="151"/>
    <x v="20"/>
    <x v="1"/>
    <n v="12.5"/>
    <n v="0"/>
    <x v="4"/>
    <s v="DOMINIO"/>
    <x v="0"/>
    <m/>
    <m/>
    <n v="400"/>
    <n v="400"/>
    <n v="450"/>
  </r>
  <r>
    <x v="5"/>
    <x v="2"/>
    <x v="7"/>
    <x v="152"/>
    <x v="20"/>
    <x v="1"/>
    <n v="12.5"/>
    <n v="0"/>
    <x v="4"/>
    <s v="DOMINIO"/>
    <x v="0"/>
    <m/>
    <m/>
    <n v="400"/>
    <n v="400"/>
    <n v="450"/>
  </r>
  <r>
    <x v="5"/>
    <x v="2"/>
    <x v="7"/>
    <x v="153"/>
    <x v="20"/>
    <x v="1"/>
    <n v="12.5"/>
    <n v="0"/>
    <x v="4"/>
    <s v="DOMINIO"/>
    <x v="0"/>
    <m/>
    <m/>
    <n v="400"/>
    <n v="400"/>
    <n v="450"/>
  </r>
  <r>
    <x v="5"/>
    <x v="2"/>
    <x v="7"/>
    <x v="177"/>
    <x v="20"/>
    <x v="1"/>
    <n v="12.5"/>
    <n v="0"/>
    <x v="4"/>
    <s v="DOMINIO"/>
    <x v="0"/>
    <m/>
    <m/>
    <n v="400"/>
    <n v="400"/>
    <n v="450"/>
  </r>
  <r>
    <x v="5"/>
    <x v="2"/>
    <x v="7"/>
    <x v="156"/>
    <x v="20"/>
    <x v="1"/>
    <n v="12.5"/>
    <n v="0"/>
    <x v="4"/>
    <s v="DOMINIO"/>
    <x v="0"/>
    <s v="B - 54"/>
    <m/>
    <n v="400"/>
    <n v="400"/>
    <n v="450"/>
  </r>
  <r>
    <x v="5"/>
    <x v="2"/>
    <x v="7"/>
    <x v="158"/>
    <x v="20"/>
    <x v="1"/>
    <n v="12.5"/>
    <n v="0"/>
    <x v="4"/>
    <s v="DOMINIO"/>
    <x v="0"/>
    <m/>
    <m/>
    <n v="400"/>
    <n v="400"/>
    <n v="450"/>
  </r>
  <r>
    <x v="5"/>
    <x v="2"/>
    <x v="7"/>
    <x v="159"/>
    <x v="20"/>
    <x v="1"/>
    <n v="12.5"/>
    <n v="0"/>
    <x v="4"/>
    <s v="DOMINIO"/>
    <x v="2"/>
    <m/>
    <s v="Assetplan - Asociado Dpto 802 A"/>
    <n v="400"/>
    <n v="400"/>
    <n v="450"/>
  </r>
  <r>
    <x v="5"/>
    <x v="2"/>
    <x v="7"/>
    <x v="160"/>
    <x v="20"/>
    <x v="1"/>
    <n v="12.5"/>
    <n v="0"/>
    <x v="4"/>
    <s v="DOMINIO"/>
    <x v="2"/>
    <m/>
    <s v="Assetplan - Asociado Dpto 804 A"/>
    <n v="400"/>
    <n v="400"/>
    <n v="450"/>
  </r>
  <r>
    <x v="5"/>
    <x v="2"/>
    <x v="7"/>
    <x v="161"/>
    <x v="20"/>
    <x v="1"/>
    <n v="12.5"/>
    <n v="0"/>
    <x v="4"/>
    <s v="DOMINIO"/>
    <x v="2"/>
    <m/>
    <s v="Assetplan - Asociado Dpto 807 A"/>
    <n v="400"/>
    <n v="400"/>
    <n v="450"/>
  </r>
  <r>
    <x v="5"/>
    <x v="2"/>
    <x v="7"/>
    <x v="162"/>
    <x v="20"/>
    <x v="1"/>
    <n v="12.5"/>
    <n v="0"/>
    <x v="4"/>
    <s v="DOMINIO"/>
    <x v="2"/>
    <m/>
    <s v="Assetplan - Asociado Dpto 808 A"/>
    <n v="400"/>
    <n v="400"/>
    <n v="450"/>
  </r>
  <r>
    <x v="5"/>
    <x v="2"/>
    <x v="7"/>
    <x v="163"/>
    <x v="20"/>
    <x v="1"/>
    <n v="12.5"/>
    <n v="0"/>
    <x v="4"/>
    <s v="DOMINIO"/>
    <x v="2"/>
    <m/>
    <s v="Assetplan - Asociado Dpto 1217 A"/>
    <n v="400"/>
    <n v="400"/>
    <n v="450"/>
  </r>
  <r>
    <x v="5"/>
    <x v="2"/>
    <x v="7"/>
    <x v="164"/>
    <x v="20"/>
    <x v="1"/>
    <n v="12.5"/>
    <n v="0"/>
    <x v="4"/>
    <s v="DOMINIO"/>
    <x v="2"/>
    <s v="B - 48"/>
    <s v="Assetplan - Asociado Dpto 1218 A"/>
    <n v="400"/>
    <n v="400"/>
    <n v="450"/>
  </r>
  <r>
    <x v="5"/>
    <x v="2"/>
    <x v="7"/>
    <x v="178"/>
    <x v="20"/>
    <x v="1"/>
    <n v="12.5"/>
    <n v="0"/>
    <x v="4"/>
    <s v="DOMINIO"/>
    <x v="2"/>
    <m/>
    <s v="Assetplan - Asociado Dpto 811 A"/>
    <n v="400"/>
    <n v="400"/>
    <n v="450"/>
  </r>
  <r>
    <x v="5"/>
    <x v="2"/>
    <x v="7"/>
    <x v="534"/>
    <x v="20"/>
    <x v="1"/>
    <n v="12.5"/>
    <n v="0"/>
    <x v="4"/>
    <s v="DOMINIO"/>
    <x v="2"/>
    <m/>
    <s v="Assetplan - Asociado Dpto 812 A"/>
    <n v="400"/>
    <n v="400"/>
    <n v="450"/>
  </r>
  <r>
    <x v="5"/>
    <x v="2"/>
    <x v="7"/>
    <x v="179"/>
    <x v="20"/>
    <x v="1"/>
    <n v="12.5"/>
    <n v="0"/>
    <x v="4"/>
    <s v="DOMINIO"/>
    <x v="2"/>
    <m/>
    <s v="Assetplan - Asociado Dpto 814 A"/>
    <n v="400"/>
    <n v="400"/>
    <n v="450"/>
  </r>
  <r>
    <x v="5"/>
    <x v="2"/>
    <x v="7"/>
    <x v="535"/>
    <x v="20"/>
    <x v="1"/>
    <n v="12.5"/>
    <n v="0"/>
    <x v="4"/>
    <s v="DOMINIO"/>
    <x v="2"/>
    <s v="B - 49"/>
    <s v="Assetplan - Asociado Dpto 1208 A"/>
    <n v="400"/>
    <n v="400"/>
    <n v="450"/>
  </r>
  <r>
    <x v="5"/>
    <x v="2"/>
    <x v="7"/>
    <x v="417"/>
    <x v="20"/>
    <x v="1"/>
    <n v="12.5"/>
    <n v="0"/>
    <x v="4"/>
    <s v="DOMINIO"/>
    <x v="2"/>
    <m/>
    <s v="Assetplan - Asociado Dpto 817 A"/>
    <n v="400"/>
    <n v="400"/>
    <n v="450"/>
  </r>
  <r>
    <x v="5"/>
    <x v="2"/>
    <x v="7"/>
    <x v="182"/>
    <x v="20"/>
    <x v="1"/>
    <n v="12.5"/>
    <n v="0"/>
    <x v="4"/>
    <s v="DOMINIO"/>
    <x v="2"/>
    <m/>
    <s v="Assetplan - Asociado Dpto 819 A"/>
    <n v="400"/>
    <n v="400"/>
    <n v="450"/>
  </r>
  <r>
    <x v="5"/>
    <x v="2"/>
    <x v="7"/>
    <x v="183"/>
    <x v="20"/>
    <x v="1"/>
    <n v="12.5"/>
    <n v="0"/>
    <x v="4"/>
    <s v="DOMINIO"/>
    <x v="2"/>
    <m/>
    <s v="Assetplan - Asociado Dpto 820 A"/>
    <n v="400"/>
    <n v="400"/>
    <n v="450"/>
  </r>
  <r>
    <x v="5"/>
    <x v="2"/>
    <x v="7"/>
    <x v="184"/>
    <x v="20"/>
    <x v="1"/>
    <n v="12.5"/>
    <n v="0"/>
    <x v="4"/>
    <s v="DOMINIO"/>
    <x v="2"/>
    <s v="B - 57"/>
    <s v="Assetplan - Asociado Dpto 821 A"/>
    <n v="400"/>
    <n v="400"/>
    <n v="450"/>
  </r>
  <r>
    <x v="5"/>
    <x v="2"/>
    <x v="7"/>
    <x v="185"/>
    <x v="20"/>
    <x v="1"/>
    <n v="12.5"/>
    <n v="0"/>
    <x v="4"/>
    <s v="DOMINIO"/>
    <x v="2"/>
    <s v="B - 56"/>
    <s v="Assetplan - Asociado Dpto 822 A"/>
    <n v="400"/>
    <n v="400"/>
    <n v="450"/>
  </r>
  <r>
    <x v="5"/>
    <x v="2"/>
    <x v="7"/>
    <x v="186"/>
    <x v="20"/>
    <x v="1"/>
    <n v="12.5"/>
    <n v="0"/>
    <x v="4"/>
    <s v="DOMINIO"/>
    <x v="2"/>
    <m/>
    <s v="Assetplan - Asociado Dpto 1211 A"/>
    <n v="400"/>
    <n v="400"/>
    <n v="450"/>
  </r>
  <r>
    <x v="5"/>
    <x v="2"/>
    <x v="7"/>
    <x v="187"/>
    <x v="20"/>
    <x v="1"/>
    <n v="12.5"/>
    <n v="0"/>
    <x v="4"/>
    <s v="DOMINIO"/>
    <x v="2"/>
    <m/>
    <s v="Assetplan - Asociado Dpto 1202 A"/>
    <n v="400"/>
    <n v="400"/>
    <n v="450"/>
  </r>
  <r>
    <x v="5"/>
    <x v="2"/>
    <x v="7"/>
    <x v="188"/>
    <x v="20"/>
    <x v="1"/>
    <n v="12.5"/>
    <n v="0"/>
    <x v="4"/>
    <s v="DOMINIO"/>
    <x v="2"/>
    <m/>
    <s v="Assetplan - Asociado Dpto 1203 A"/>
    <n v="400"/>
    <n v="400"/>
    <n v="450"/>
  </r>
  <r>
    <x v="5"/>
    <x v="2"/>
    <x v="7"/>
    <x v="189"/>
    <x v="20"/>
    <x v="1"/>
    <n v="12.5"/>
    <n v="0"/>
    <x v="4"/>
    <s v="DOMINIO"/>
    <x v="2"/>
    <m/>
    <s v="Assetplan - Asociado Dpto 1302 A"/>
    <n v="400"/>
    <n v="400"/>
    <n v="450"/>
  </r>
  <r>
    <x v="5"/>
    <x v="2"/>
    <x v="7"/>
    <x v="190"/>
    <x v="20"/>
    <x v="1"/>
    <n v="12.5"/>
    <n v="0"/>
    <x v="4"/>
    <s v="DOMINIO"/>
    <x v="2"/>
    <m/>
    <s v="Assetplan - Asociado Dpto 1303 A"/>
    <n v="400"/>
    <n v="400"/>
    <n v="450"/>
  </r>
  <r>
    <x v="5"/>
    <x v="2"/>
    <x v="7"/>
    <x v="191"/>
    <x v="20"/>
    <x v="1"/>
    <n v="12.5"/>
    <n v="0"/>
    <x v="4"/>
    <s v="DOMINIO"/>
    <x v="2"/>
    <m/>
    <s v="Assetplan - Asociado Dpto 1214 A"/>
    <n v="400"/>
    <n v="400"/>
    <n v="450"/>
  </r>
  <r>
    <x v="5"/>
    <x v="2"/>
    <x v="7"/>
    <x v="192"/>
    <x v="20"/>
    <x v="1"/>
    <n v="12.5"/>
    <n v="0"/>
    <x v="4"/>
    <s v="DOMINIO"/>
    <x v="2"/>
    <m/>
    <s v="Assetplan - Asociado Dpto 1308 A"/>
    <n v="400"/>
    <n v="400"/>
    <n v="450"/>
  </r>
  <r>
    <x v="5"/>
    <x v="2"/>
    <x v="7"/>
    <x v="193"/>
    <x v="20"/>
    <x v="1"/>
    <n v="12.5"/>
    <n v="0"/>
    <x v="4"/>
    <s v="DOMINIO"/>
    <x v="2"/>
    <m/>
    <s v="Assetplan - Asociado Dpto 1307 A"/>
    <n v="400"/>
    <n v="400"/>
    <n v="450"/>
  </r>
  <r>
    <x v="5"/>
    <x v="2"/>
    <x v="7"/>
    <x v="194"/>
    <x v="20"/>
    <x v="1"/>
    <n v="12.5"/>
    <n v="0"/>
    <x v="4"/>
    <s v="DOMINIO"/>
    <x v="2"/>
    <m/>
    <s v="Assetplan - Asociado Dpto 1304 A"/>
    <n v="400"/>
    <n v="400"/>
    <n v="450"/>
  </r>
  <r>
    <x v="5"/>
    <x v="2"/>
    <x v="7"/>
    <x v="7"/>
    <x v="20"/>
    <x v="1"/>
    <n v="12.5"/>
    <n v="0"/>
    <x v="4"/>
    <s v="DOMINIO"/>
    <x v="2"/>
    <m/>
    <s v="Assetplan - Asociado Dpto 1311 A"/>
    <n v="400"/>
    <n v="400"/>
    <n v="450"/>
  </r>
  <r>
    <x v="5"/>
    <x v="2"/>
    <x v="7"/>
    <x v="195"/>
    <x v="20"/>
    <x v="1"/>
    <n v="12.5"/>
    <n v="0"/>
    <x v="4"/>
    <s v="DOMINIO"/>
    <x v="2"/>
    <m/>
    <s v="Assetplan - Asociado Dpto 1312 A"/>
    <n v="400"/>
    <n v="400"/>
    <n v="450"/>
  </r>
  <r>
    <x v="5"/>
    <x v="2"/>
    <x v="7"/>
    <x v="196"/>
    <x v="20"/>
    <x v="1"/>
    <n v="12.5"/>
    <n v="0"/>
    <x v="4"/>
    <s v="DOMINIO"/>
    <x v="2"/>
    <m/>
    <s v="Assetplan - Asociado Dpto 1314 A"/>
    <n v="400"/>
    <n v="400"/>
    <n v="450"/>
  </r>
  <r>
    <x v="5"/>
    <x v="2"/>
    <x v="7"/>
    <x v="197"/>
    <x v="20"/>
    <x v="1"/>
    <n v="12.5"/>
    <n v="0"/>
    <x v="4"/>
    <s v="DOMINIO"/>
    <x v="2"/>
    <m/>
    <s v="Assetplan - Asociado Dpto 1317 A"/>
    <n v="400"/>
    <n v="400"/>
    <n v="450"/>
  </r>
  <r>
    <x v="5"/>
    <x v="2"/>
    <x v="7"/>
    <x v="198"/>
    <x v="20"/>
    <x v="1"/>
    <n v="12.5"/>
    <n v="0"/>
    <x v="4"/>
    <s v="DOMINIO"/>
    <x v="2"/>
    <m/>
    <s v="Assetplan - Asociado Dpto 1318 A"/>
    <n v="400"/>
    <n v="400"/>
    <n v="450"/>
  </r>
  <r>
    <x v="5"/>
    <x v="2"/>
    <x v="7"/>
    <x v="199"/>
    <x v="20"/>
    <x v="1"/>
    <n v="12.5"/>
    <n v="0"/>
    <x v="4"/>
    <s v="DOMINIO"/>
    <x v="2"/>
    <m/>
    <s v="Assetplan - Asociado Dpto 1319 A"/>
    <n v="400"/>
    <n v="400"/>
    <n v="450"/>
  </r>
  <r>
    <x v="5"/>
    <x v="2"/>
    <x v="7"/>
    <x v="200"/>
    <x v="20"/>
    <x v="1"/>
    <n v="12.5"/>
    <n v="0"/>
    <x v="4"/>
    <s v="DOMINIO"/>
    <x v="2"/>
    <m/>
    <s v="Assetplan - Asociado Dpto 1320 A"/>
    <n v="400"/>
    <n v="400"/>
    <n v="450"/>
  </r>
  <r>
    <x v="5"/>
    <x v="2"/>
    <x v="7"/>
    <x v="201"/>
    <x v="20"/>
    <x v="1"/>
    <n v="12.5"/>
    <n v="0"/>
    <x v="4"/>
    <s v="DOMINIO"/>
    <x v="2"/>
    <m/>
    <s v="Assetplan - Asociado Dpto 1321 A"/>
    <n v="400"/>
    <n v="400"/>
    <n v="450"/>
  </r>
  <r>
    <x v="5"/>
    <x v="2"/>
    <x v="7"/>
    <x v="202"/>
    <x v="20"/>
    <x v="1"/>
    <n v="12.5"/>
    <n v="0"/>
    <x v="4"/>
    <s v="DOMINIO"/>
    <x v="2"/>
    <m/>
    <s v="Assetplan - Asociado Dpto 1322 A"/>
    <n v="400"/>
    <n v="400"/>
    <n v="450"/>
  </r>
  <r>
    <x v="5"/>
    <x v="2"/>
    <x v="7"/>
    <x v="203"/>
    <x v="20"/>
    <x v="1"/>
    <n v="12.5"/>
    <n v="0"/>
    <x v="4"/>
    <s v="DOMINIO"/>
    <x v="0"/>
    <m/>
    <m/>
    <n v="400"/>
    <n v="400"/>
    <n v="450"/>
  </r>
  <r>
    <x v="5"/>
    <x v="2"/>
    <x v="7"/>
    <x v="204"/>
    <x v="20"/>
    <x v="1"/>
    <n v="12.5"/>
    <n v="0"/>
    <x v="4"/>
    <s v="DOMINIO"/>
    <x v="0"/>
    <m/>
    <m/>
    <n v="400"/>
    <n v="400"/>
    <n v="450"/>
  </r>
  <r>
    <x v="5"/>
    <x v="2"/>
    <x v="7"/>
    <x v="205"/>
    <x v="20"/>
    <x v="1"/>
    <n v="12.5"/>
    <n v="0"/>
    <x v="4"/>
    <s v="DOMINIO"/>
    <x v="0"/>
    <m/>
    <m/>
    <n v="400"/>
    <n v="400"/>
    <n v="450"/>
  </r>
  <r>
    <x v="5"/>
    <x v="2"/>
    <x v="7"/>
    <x v="206"/>
    <x v="20"/>
    <x v="1"/>
    <n v="12.5"/>
    <n v="0"/>
    <x v="4"/>
    <s v="DOMINIO"/>
    <x v="0"/>
    <m/>
    <m/>
    <n v="400"/>
    <n v="400"/>
    <n v="450"/>
  </r>
  <r>
    <x v="5"/>
    <x v="2"/>
    <x v="7"/>
    <x v="207"/>
    <x v="20"/>
    <x v="1"/>
    <n v="12.5"/>
    <n v="0"/>
    <x v="4"/>
    <s v="DOMINIO"/>
    <x v="0"/>
    <m/>
    <m/>
    <n v="400"/>
    <n v="400"/>
    <n v="450"/>
  </r>
  <r>
    <x v="5"/>
    <x v="2"/>
    <x v="7"/>
    <x v="208"/>
    <x v="20"/>
    <x v="1"/>
    <n v="12.5"/>
    <n v="0"/>
    <x v="4"/>
    <s v="DOMINIO"/>
    <x v="0"/>
    <m/>
    <m/>
    <n v="400"/>
    <n v="400"/>
    <n v="450"/>
  </r>
  <r>
    <x v="5"/>
    <x v="2"/>
    <x v="7"/>
    <x v="209"/>
    <x v="20"/>
    <x v="1"/>
    <n v="12.5"/>
    <n v="0"/>
    <x v="4"/>
    <s v="DOMINIO"/>
    <x v="0"/>
    <m/>
    <m/>
    <n v="400"/>
    <n v="400"/>
    <n v="450"/>
  </r>
  <r>
    <x v="5"/>
    <x v="2"/>
    <x v="7"/>
    <x v="210"/>
    <x v="20"/>
    <x v="1"/>
    <n v="12.5"/>
    <n v="0"/>
    <x v="4"/>
    <s v="DOMINIO"/>
    <x v="0"/>
    <m/>
    <m/>
    <n v="400"/>
    <n v="400"/>
    <n v="450"/>
  </r>
  <r>
    <x v="5"/>
    <x v="2"/>
    <x v="7"/>
    <x v="211"/>
    <x v="20"/>
    <x v="1"/>
    <n v="12.5"/>
    <n v="0"/>
    <x v="4"/>
    <s v="DOMINIO"/>
    <x v="0"/>
    <m/>
    <m/>
    <n v="400"/>
    <n v="400"/>
    <n v="450"/>
  </r>
  <r>
    <x v="5"/>
    <x v="2"/>
    <x v="7"/>
    <x v="212"/>
    <x v="20"/>
    <x v="1"/>
    <n v="12.5"/>
    <n v="0"/>
    <x v="4"/>
    <s v="DOMINIO"/>
    <x v="0"/>
    <m/>
    <m/>
    <n v="400"/>
    <n v="400"/>
    <n v="450"/>
  </r>
  <r>
    <x v="5"/>
    <x v="2"/>
    <x v="7"/>
    <x v="213"/>
    <x v="20"/>
    <x v="1"/>
    <n v="12.5"/>
    <n v="0"/>
    <x v="4"/>
    <s v="DOMINIO"/>
    <x v="0"/>
    <m/>
    <m/>
    <n v="400"/>
    <n v="400"/>
    <n v="450"/>
  </r>
  <r>
    <x v="5"/>
    <x v="2"/>
    <x v="7"/>
    <x v="214"/>
    <x v="20"/>
    <x v="1"/>
    <n v="12.5"/>
    <n v="0"/>
    <x v="4"/>
    <s v="DOMINIO"/>
    <x v="0"/>
    <m/>
    <m/>
    <n v="400"/>
    <n v="400"/>
    <n v="450"/>
  </r>
  <r>
    <x v="5"/>
    <x v="2"/>
    <x v="7"/>
    <x v="215"/>
    <x v="20"/>
    <x v="1"/>
    <n v="12.5"/>
    <n v="0"/>
    <x v="4"/>
    <s v="DOMINIO"/>
    <x v="0"/>
    <m/>
    <m/>
    <n v="400"/>
    <n v="400"/>
    <n v="450"/>
  </r>
  <r>
    <x v="5"/>
    <x v="2"/>
    <x v="7"/>
    <x v="216"/>
    <x v="20"/>
    <x v="1"/>
    <n v="12.5"/>
    <n v="0"/>
    <x v="4"/>
    <s v="DOMINIO"/>
    <x v="0"/>
    <m/>
    <m/>
    <n v="400"/>
    <n v="400"/>
    <n v="450"/>
  </r>
  <r>
    <x v="5"/>
    <x v="2"/>
    <x v="7"/>
    <x v="217"/>
    <x v="20"/>
    <x v="1"/>
    <n v="12.5"/>
    <n v="0"/>
    <x v="4"/>
    <s v="DOMINIO"/>
    <x v="0"/>
    <m/>
    <m/>
    <n v="400"/>
    <n v="400"/>
    <n v="450"/>
  </r>
  <r>
    <x v="5"/>
    <x v="2"/>
    <x v="7"/>
    <x v="219"/>
    <x v="20"/>
    <x v="1"/>
    <n v="12.5"/>
    <n v="0"/>
    <x v="4"/>
    <s v="DOMINIO"/>
    <x v="0"/>
    <m/>
    <m/>
    <n v="400"/>
    <n v="400"/>
    <n v="450"/>
  </r>
  <r>
    <x v="5"/>
    <x v="2"/>
    <x v="7"/>
    <x v="220"/>
    <x v="20"/>
    <x v="1"/>
    <n v="12.5"/>
    <n v="0"/>
    <x v="4"/>
    <s v="DOMINIO"/>
    <x v="0"/>
    <m/>
    <m/>
    <n v="400"/>
    <n v="400"/>
    <n v="450"/>
  </r>
  <r>
    <x v="5"/>
    <x v="2"/>
    <x v="7"/>
    <x v="221"/>
    <x v="20"/>
    <x v="1"/>
    <n v="12.5"/>
    <n v="0"/>
    <x v="4"/>
    <s v="DOMINIO"/>
    <x v="0"/>
    <m/>
    <m/>
    <n v="400"/>
    <n v="400"/>
    <n v="450"/>
  </r>
  <r>
    <x v="5"/>
    <x v="2"/>
    <x v="7"/>
    <x v="222"/>
    <x v="20"/>
    <x v="1"/>
    <n v="12.5"/>
    <n v="0"/>
    <x v="4"/>
    <s v="DOMINIO"/>
    <x v="0"/>
    <m/>
    <m/>
    <n v="400"/>
    <n v="400"/>
    <n v="450"/>
  </r>
  <r>
    <x v="5"/>
    <x v="2"/>
    <x v="7"/>
    <x v="223"/>
    <x v="20"/>
    <x v="1"/>
    <n v="12.5"/>
    <n v="0"/>
    <x v="4"/>
    <s v="DOMINIO"/>
    <x v="0"/>
    <s v="B - 41"/>
    <m/>
    <n v="400"/>
    <n v="400"/>
    <n v="450"/>
  </r>
  <r>
    <x v="5"/>
    <x v="2"/>
    <x v="7"/>
    <x v="224"/>
    <x v="20"/>
    <x v="1"/>
    <n v="12.5"/>
    <n v="0"/>
    <x v="4"/>
    <s v="DOMINIO"/>
    <x v="0"/>
    <m/>
    <m/>
    <n v="400"/>
    <n v="400"/>
    <n v="450"/>
  </r>
  <r>
    <x v="5"/>
    <x v="2"/>
    <x v="7"/>
    <x v="225"/>
    <x v="20"/>
    <x v="1"/>
    <n v="12.5"/>
    <n v="0"/>
    <x v="4"/>
    <s v="DOMINIO"/>
    <x v="0"/>
    <m/>
    <m/>
    <n v="400"/>
    <n v="400"/>
    <n v="450"/>
  </r>
  <r>
    <x v="5"/>
    <x v="2"/>
    <x v="7"/>
    <x v="226"/>
    <x v="20"/>
    <x v="1"/>
    <n v="12.5"/>
    <n v="0"/>
    <x v="4"/>
    <s v="DOMINIO"/>
    <x v="0"/>
    <m/>
    <m/>
    <n v="400"/>
    <n v="400"/>
    <n v="450"/>
  </r>
  <r>
    <x v="5"/>
    <x v="2"/>
    <x v="7"/>
    <x v="227"/>
    <x v="20"/>
    <x v="1"/>
    <n v="12.5"/>
    <n v="0"/>
    <x v="4"/>
    <s v="DOMINIO"/>
    <x v="0"/>
    <m/>
    <m/>
    <n v="400"/>
    <n v="400"/>
    <n v="450"/>
  </r>
  <r>
    <x v="5"/>
    <x v="2"/>
    <x v="7"/>
    <x v="228"/>
    <x v="20"/>
    <x v="1"/>
    <n v="12.5"/>
    <n v="0"/>
    <x v="4"/>
    <s v="DOMINIO"/>
    <x v="0"/>
    <m/>
    <m/>
    <n v="400"/>
    <n v="400"/>
    <n v="450"/>
  </r>
  <r>
    <x v="5"/>
    <x v="2"/>
    <x v="7"/>
    <x v="582"/>
    <x v="20"/>
    <x v="1"/>
    <n v="12.5"/>
    <n v="0"/>
    <x v="4"/>
    <s v="DOMINIO"/>
    <x v="0"/>
    <m/>
    <m/>
    <n v="400"/>
    <n v="400"/>
    <n v="450"/>
  </r>
  <r>
    <x v="5"/>
    <x v="2"/>
    <x v="7"/>
    <x v="583"/>
    <x v="20"/>
    <x v="1"/>
    <n v="12.5"/>
    <n v="0"/>
    <x v="4"/>
    <s v="DOMINIO"/>
    <x v="0"/>
    <m/>
    <m/>
    <n v="400"/>
    <n v="400"/>
    <n v="450"/>
  </r>
  <r>
    <x v="5"/>
    <x v="2"/>
    <x v="7"/>
    <x v="584"/>
    <x v="6"/>
    <x v="1"/>
    <n v="12.5"/>
    <n v="0"/>
    <x v="9"/>
    <s v="USO Y GOCE"/>
    <x v="0"/>
    <m/>
    <m/>
    <n v="400"/>
    <n v="400"/>
    <n v="450"/>
  </r>
  <r>
    <x v="5"/>
    <x v="2"/>
    <x v="7"/>
    <x v="585"/>
    <x v="6"/>
    <x v="1"/>
    <n v="12.5"/>
    <n v="0"/>
    <x v="9"/>
    <s v="USO Y GOCE"/>
    <x v="0"/>
    <m/>
    <m/>
    <n v="400"/>
    <n v="400"/>
    <n v="450"/>
  </r>
  <r>
    <x v="5"/>
    <x v="2"/>
    <x v="7"/>
    <x v="418"/>
    <x v="6"/>
    <x v="1"/>
    <n v="12.5"/>
    <n v="0"/>
    <x v="9"/>
    <s v="USO Y GOCE"/>
    <x v="0"/>
    <m/>
    <m/>
    <n v="400"/>
    <n v="400"/>
    <n v="450"/>
  </r>
  <r>
    <x v="5"/>
    <x v="2"/>
    <x v="7"/>
    <x v="419"/>
    <x v="6"/>
    <x v="1"/>
    <n v="12.5"/>
    <n v="0"/>
    <x v="9"/>
    <s v="USO Y GOCE"/>
    <x v="0"/>
    <m/>
    <m/>
    <n v="400"/>
    <n v="400"/>
    <n v="450"/>
  </r>
  <r>
    <x v="5"/>
    <x v="2"/>
    <x v="7"/>
    <x v="420"/>
    <x v="6"/>
    <x v="1"/>
    <n v="12.5"/>
    <n v="0"/>
    <x v="9"/>
    <s v="USO Y GOCE"/>
    <x v="0"/>
    <m/>
    <m/>
    <n v="400"/>
    <n v="400"/>
    <n v="450"/>
  </r>
  <r>
    <x v="5"/>
    <x v="2"/>
    <x v="7"/>
    <x v="586"/>
    <x v="6"/>
    <x v="1"/>
    <n v="12.5"/>
    <n v="0"/>
    <x v="9"/>
    <s v="USO Y GOCE"/>
    <x v="0"/>
    <m/>
    <m/>
    <n v="400"/>
    <n v="400"/>
    <n v="450"/>
  </r>
  <r>
    <x v="5"/>
    <x v="2"/>
    <x v="7"/>
    <x v="587"/>
    <x v="6"/>
    <x v="1"/>
    <n v="12.5"/>
    <n v="0"/>
    <x v="9"/>
    <s v="USO Y GOCE"/>
    <x v="0"/>
    <m/>
    <m/>
    <n v="400"/>
    <n v="400"/>
    <n v="450"/>
  </r>
  <r>
    <x v="5"/>
    <x v="2"/>
    <x v="7"/>
    <x v="421"/>
    <x v="6"/>
    <x v="1"/>
    <n v="12.5"/>
    <n v="0"/>
    <x v="9"/>
    <s v="USO Y GOCE"/>
    <x v="0"/>
    <m/>
    <m/>
    <n v="400"/>
    <n v="400"/>
    <n v="450"/>
  </r>
  <r>
    <x v="5"/>
    <x v="2"/>
    <x v="7"/>
    <x v="588"/>
    <x v="6"/>
    <x v="1"/>
    <n v="12.5"/>
    <n v="0"/>
    <x v="9"/>
    <s v="USO Y GOCE"/>
    <x v="0"/>
    <m/>
    <m/>
    <n v="400"/>
    <n v="400"/>
    <n v="450"/>
  </r>
  <r>
    <x v="5"/>
    <x v="2"/>
    <x v="7"/>
    <x v="589"/>
    <x v="6"/>
    <x v="1"/>
    <n v="12.5"/>
    <n v="0"/>
    <x v="9"/>
    <s v="USO Y GOCE"/>
    <x v="0"/>
    <m/>
    <m/>
    <n v="400"/>
    <n v="400"/>
    <n v="450"/>
  </r>
  <r>
    <x v="6"/>
    <x v="0"/>
    <x v="0"/>
    <x v="439"/>
    <x v="3"/>
    <x v="0"/>
    <n v="31.1"/>
    <n v="2.86"/>
    <x v="5"/>
    <s v="DOMINIO"/>
    <x v="1"/>
    <m/>
    <m/>
    <n v="2632"/>
    <n v="2289.84"/>
    <n v="2576.0700000000002"/>
  </r>
  <r>
    <x v="6"/>
    <x v="0"/>
    <x v="0"/>
    <x v="539"/>
    <x v="14"/>
    <x v="0"/>
    <n v="31.1"/>
    <n v="2.86"/>
    <x v="5"/>
    <s v="DOMINIO"/>
    <x v="0"/>
    <m/>
    <m/>
    <n v="2744"/>
    <n v="2387.2800000000002"/>
    <n v="2685.69"/>
  </r>
  <r>
    <x v="6"/>
    <x v="0"/>
    <x v="3"/>
    <x v="282"/>
    <x v="7"/>
    <x v="0"/>
    <n v="36.94"/>
    <n v="2.2400000000000002"/>
    <x v="8"/>
    <s v="DOMINIO"/>
    <x v="0"/>
    <m/>
    <m/>
    <n v="2878"/>
    <n v="2503.86"/>
    <n v="2816.8425000000002"/>
  </r>
  <r>
    <x v="6"/>
    <x v="0"/>
    <x v="3"/>
    <x v="590"/>
    <x v="7"/>
    <x v="0"/>
    <n v="37.049999999999997"/>
    <n v="2.2400000000000002"/>
    <x v="8"/>
    <s v="DOMINIO"/>
    <x v="0"/>
    <m/>
    <m/>
    <n v="2878"/>
    <n v="2503.86"/>
    <n v="2816.8425000000002"/>
  </r>
  <r>
    <x v="6"/>
    <x v="0"/>
    <x v="3"/>
    <x v="320"/>
    <x v="8"/>
    <x v="0"/>
    <n v="36.94"/>
    <n v="2.2400000000000002"/>
    <x v="8"/>
    <s v="DOMINIO"/>
    <x v="0"/>
    <m/>
    <m/>
    <n v="2890"/>
    <n v="2514.3000000000002"/>
    <n v="2828.5875000000001"/>
  </r>
  <r>
    <x v="6"/>
    <x v="0"/>
    <x v="3"/>
    <x v="408"/>
    <x v="8"/>
    <x v="0"/>
    <n v="36.94"/>
    <n v="2.2400000000000002"/>
    <x v="7"/>
    <s v="DOMINIO"/>
    <x v="0"/>
    <m/>
    <m/>
    <n v="2866"/>
    <n v="2493.42"/>
    <n v="2805.0974999999999"/>
  </r>
  <r>
    <x v="6"/>
    <x v="0"/>
    <x v="3"/>
    <x v="77"/>
    <x v="5"/>
    <x v="0"/>
    <n v="36.94"/>
    <n v="2.2400000000000002"/>
    <x v="8"/>
    <s v="DOMINIO"/>
    <x v="1"/>
    <m/>
    <m/>
    <n v="2914"/>
    <n v="2535.1799999999998"/>
    <n v="2852.0774999999994"/>
  </r>
  <r>
    <x v="6"/>
    <x v="0"/>
    <x v="3"/>
    <x v="336"/>
    <x v="5"/>
    <x v="0"/>
    <n v="36.94"/>
    <n v="2.2400000000000002"/>
    <x v="8"/>
    <s v="DOMINIO"/>
    <x v="1"/>
    <m/>
    <m/>
    <n v="2914"/>
    <n v="2535.1799999999998"/>
    <n v="2852.0774999999994"/>
  </r>
  <r>
    <x v="6"/>
    <x v="0"/>
    <x v="3"/>
    <x v="266"/>
    <x v="5"/>
    <x v="0"/>
    <n v="36.94"/>
    <n v="2.2400000000000002"/>
    <x v="7"/>
    <s v="DOMINIO"/>
    <x v="0"/>
    <m/>
    <m/>
    <n v="2890"/>
    <n v="2514.3000000000002"/>
    <n v="2828.5875000000001"/>
  </r>
  <r>
    <x v="6"/>
    <x v="0"/>
    <x v="3"/>
    <x v="241"/>
    <x v="10"/>
    <x v="0"/>
    <n v="36.94"/>
    <n v="2.2400000000000002"/>
    <x v="8"/>
    <s v="DOMINIO"/>
    <x v="1"/>
    <m/>
    <m/>
    <n v="2925"/>
    <n v="2544.75"/>
    <n v="2862.84375"/>
  </r>
  <r>
    <x v="6"/>
    <x v="0"/>
    <x v="3"/>
    <x v="387"/>
    <x v="11"/>
    <x v="0"/>
    <n v="36.94"/>
    <n v="2.2400000000000002"/>
    <x v="7"/>
    <s v="DOMINIO"/>
    <x v="0"/>
    <m/>
    <m/>
    <n v="2914"/>
    <n v="2535.1799999999998"/>
    <n v="2852.0774999999994"/>
  </r>
  <r>
    <x v="6"/>
    <x v="0"/>
    <x v="3"/>
    <x v="396"/>
    <x v="11"/>
    <x v="0"/>
    <n v="36.94"/>
    <n v="2.2400000000000002"/>
    <x v="7"/>
    <s v="DOMINIO"/>
    <x v="0"/>
    <m/>
    <m/>
    <n v="2914"/>
    <n v="2535.1799999999998"/>
    <n v="2852.0774999999994"/>
  </r>
  <r>
    <x v="6"/>
    <x v="0"/>
    <x v="3"/>
    <x v="33"/>
    <x v="12"/>
    <x v="0"/>
    <n v="37.049999999999997"/>
    <n v="2.2400000000000002"/>
    <x v="7"/>
    <s v="DOMINIO"/>
    <x v="1"/>
    <m/>
    <m/>
    <n v="2919"/>
    <n v="2539.5300000000002"/>
    <n v="2856.9712500000001"/>
  </r>
  <r>
    <x v="6"/>
    <x v="0"/>
    <x v="3"/>
    <x v="560"/>
    <x v="12"/>
    <x v="0"/>
    <n v="36.94"/>
    <n v="2.2400000000000002"/>
    <x v="7"/>
    <s v="DOMINIO"/>
    <x v="1"/>
    <m/>
    <m/>
    <n v="2919"/>
    <n v="2539.5300000000002"/>
    <n v="2856.9712500000001"/>
  </r>
  <r>
    <x v="6"/>
    <x v="0"/>
    <x v="3"/>
    <x v="415"/>
    <x v="12"/>
    <x v="0"/>
    <n v="37.049999999999997"/>
    <n v="2.2400000000000002"/>
    <x v="7"/>
    <s v="DOMINIO"/>
    <x v="1"/>
    <m/>
    <m/>
    <n v="2919"/>
    <n v="2539.5300000000002"/>
    <n v="2856.9712500000001"/>
  </r>
  <r>
    <x v="6"/>
    <x v="0"/>
    <x v="3"/>
    <x v="591"/>
    <x v="12"/>
    <x v="0"/>
    <n v="37.049999999999997"/>
    <n v="2.2400000000000002"/>
    <x v="8"/>
    <s v="DOMINIO"/>
    <x v="1"/>
    <m/>
    <m/>
    <n v="2943"/>
    <n v="2560.41"/>
    <n v="2880.4612499999994"/>
  </r>
  <r>
    <x v="6"/>
    <x v="0"/>
    <x v="3"/>
    <x v="38"/>
    <x v="13"/>
    <x v="0"/>
    <n v="37.049999999999997"/>
    <n v="2.2400000000000002"/>
    <x v="7"/>
    <s v="DOMINIO"/>
    <x v="1"/>
    <m/>
    <m/>
    <n v="2925"/>
    <n v="2544.75"/>
    <n v="2862.84375"/>
  </r>
  <r>
    <x v="6"/>
    <x v="0"/>
    <x v="3"/>
    <x v="230"/>
    <x v="13"/>
    <x v="0"/>
    <n v="36.94"/>
    <n v="2.2400000000000002"/>
    <x v="7"/>
    <s v="DOMINIO"/>
    <x v="1"/>
    <m/>
    <m/>
    <n v="2925"/>
    <n v="2544.75"/>
    <n v="2862.84375"/>
  </r>
  <r>
    <x v="6"/>
    <x v="0"/>
    <x v="3"/>
    <x v="566"/>
    <x v="13"/>
    <x v="0"/>
    <n v="37.049999999999997"/>
    <n v="2.2400000000000002"/>
    <x v="7"/>
    <s v="DOMINIO"/>
    <x v="1"/>
    <m/>
    <m/>
    <n v="2925"/>
    <n v="2544.75"/>
    <n v="2862.84375"/>
  </r>
  <r>
    <x v="6"/>
    <x v="0"/>
    <x v="3"/>
    <x v="592"/>
    <x v="13"/>
    <x v="0"/>
    <n v="37.049999999999997"/>
    <n v="2.2400000000000002"/>
    <x v="8"/>
    <s v="DOMINIO"/>
    <x v="1"/>
    <m/>
    <m/>
    <n v="2949"/>
    <n v="2565.63"/>
    <n v="2886.3337499999998"/>
  </r>
  <r>
    <x v="6"/>
    <x v="0"/>
    <x v="4"/>
    <x v="240"/>
    <x v="10"/>
    <x v="0"/>
    <n v="43.03"/>
    <n v="2.2400000000000002"/>
    <x v="8"/>
    <s v="DOMINIO"/>
    <x v="0"/>
    <m/>
    <m/>
    <n v="3104"/>
    <n v="2700.48"/>
    <n v="3038.0399999999995"/>
  </r>
  <r>
    <x v="6"/>
    <x v="0"/>
    <x v="4"/>
    <x v="349"/>
    <x v="11"/>
    <x v="0"/>
    <n v="43.03"/>
    <n v="2.2400000000000002"/>
    <x v="7"/>
    <s v="DOMINIO"/>
    <x v="0"/>
    <m/>
    <m/>
    <n v="3092"/>
    <n v="2690.04"/>
    <n v="3026.2950000000001"/>
  </r>
  <r>
    <x v="6"/>
    <x v="0"/>
    <x v="4"/>
    <x v="367"/>
    <x v="11"/>
    <x v="0"/>
    <n v="43.03"/>
    <n v="2.2400000000000002"/>
    <x v="7"/>
    <s v="DOMINIO"/>
    <x v="0"/>
    <m/>
    <m/>
    <n v="3092"/>
    <n v="2690.04"/>
    <n v="3026.2950000000001"/>
  </r>
  <r>
    <x v="6"/>
    <x v="0"/>
    <x v="4"/>
    <x v="414"/>
    <x v="11"/>
    <x v="0"/>
    <n v="43.55"/>
    <n v="2.2400000000000002"/>
    <x v="8"/>
    <s v="DOMINIO"/>
    <x v="0"/>
    <m/>
    <m/>
    <n v="3116"/>
    <n v="2710.92"/>
    <n v="3049.7849999999999"/>
  </r>
  <r>
    <x v="6"/>
    <x v="0"/>
    <x v="4"/>
    <x v="593"/>
    <x v="12"/>
    <x v="0"/>
    <n v="42.87"/>
    <n v="2.2400000000000002"/>
    <x v="8"/>
    <s v="DOMINIO"/>
    <x v="0"/>
    <m/>
    <m/>
    <n v="3122"/>
    <n v="2716.14"/>
    <n v="3055.6574999999998"/>
  </r>
  <r>
    <x v="6"/>
    <x v="0"/>
    <x v="4"/>
    <x v="231"/>
    <x v="13"/>
    <x v="0"/>
    <n v="43.03"/>
    <n v="2.2400000000000002"/>
    <x v="7"/>
    <s v="DOMINIO"/>
    <x v="1"/>
    <m/>
    <m/>
    <n v="3104"/>
    <n v="2700.48"/>
    <n v="3038.0399999999995"/>
  </r>
  <r>
    <x v="6"/>
    <x v="0"/>
    <x v="4"/>
    <x v="567"/>
    <x v="13"/>
    <x v="0"/>
    <n v="42.87"/>
    <n v="2.2400000000000002"/>
    <x v="7"/>
    <s v="DOMINIO"/>
    <x v="0"/>
    <m/>
    <m/>
    <n v="3104"/>
    <n v="2700.48"/>
    <n v="3038.0399999999995"/>
  </r>
  <r>
    <x v="6"/>
    <x v="0"/>
    <x v="4"/>
    <x v="568"/>
    <x v="13"/>
    <x v="0"/>
    <n v="43.55"/>
    <n v="2.2400000000000002"/>
    <x v="7"/>
    <s v="DOMINIO"/>
    <x v="0"/>
    <m/>
    <m/>
    <n v="3104"/>
    <n v="2700.48"/>
    <n v="3038.0399999999995"/>
  </r>
  <r>
    <x v="6"/>
    <x v="0"/>
    <x v="5"/>
    <x v="310"/>
    <x v="4"/>
    <x v="0"/>
    <n v="46.33"/>
    <n v="2.2400000000000002"/>
    <x v="7"/>
    <s v="DOMINIO"/>
    <x v="1"/>
    <m/>
    <m/>
    <n v="3230"/>
    <n v="2810.1"/>
    <n v="3161.3625000000002"/>
  </r>
  <r>
    <x v="6"/>
    <x v="0"/>
    <x v="5"/>
    <x v="532"/>
    <x v="7"/>
    <x v="0"/>
    <n v="46.78"/>
    <n v="2.2400000000000002"/>
    <x v="6"/>
    <s v="DOMINIO"/>
    <x v="0"/>
    <m/>
    <m/>
    <n v="3206"/>
    <n v="2789.22"/>
    <n v="3137.8724999999995"/>
  </r>
  <r>
    <x v="6"/>
    <x v="0"/>
    <x v="5"/>
    <x v="25"/>
    <x v="10"/>
    <x v="0"/>
    <n v="46.33"/>
    <n v="2.2400000000000002"/>
    <x v="7"/>
    <s v="DOMINIO"/>
    <x v="0"/>
    <m/>
    <m/>
    <n v="3289"/>
    <n v="2861.43"/>
    <n v="3219.1087499999994"/>
  </r>
  <r>
    <x v="6"/>
    <x v="0"/>
    <x v="5"/>
    <x v="347"/>
    <x v="11"/>
    <x v="0"/>
    <n v="46.22"/>
    <n v="2.2400000000000002"/>
    <x v="6"/>
    <s v="DOMINIO"/>
    <x v="0"/>
    <m/>
    <m/>
    <n v="3265"/>
    <n v="2840.55"/>
    <n v="3195.6187500000001"/>
  </r>
  <r>
    <x v="6"/>
    <x v="0"/>
    <x v="5"/>
    <x v="559"/>
    <x v="12"/>
    <x v="0"/>
    <n v="46.78"/>
    <n v="2.2400000000000002"/>
    <x v="6"/>
    <s v="DOMINIO"/>
    <x v="1"/>
    <m/>
    <m/>
    <n v="3271"/>
    <n v="2845.77"/>
    <n v="3201.49125"/>
  </r>
  <r>
    <x v="6"/>
    <x v="0"/>
    <x v="5"/>
    <x v="34"/>
    <x v="12"/>
    <x v="0"/>
    <n v="46.33"/>
    <n v="2.2400000000000002"/>
    <x v="7"/>
    <s v="DOMINIO"/>
    <x v="1"/>
    <m/>
    <m/>
    <n v="3306"/>
    <n v="2876.22"/>
    <n v="3235.7474999999999"/>
  </r>
  <r>
    <x v="6"/>
    <x v="0"/>
    <x v="5"/>
    <x v="39"/>
    <x v="13"/>
    <x v="0"/>
    <n v="46.33"/>
    <n v="2.2400000000000002"/>
    <x v="7"/>
    <s v="DOMINIO"/>
    <x v="0"/>
    <m/>
    <m/>
    <n v="3312"/>
    <n v="2881.44"/>
    <n v="3241.6200000000003"/>
  </r>
  <r>
    <x v="6"/>
    <x v="0"/>
    <x v="5"/>
    <x v="540"/>
    <x v="14"/>
    <x v="0"/>
    <n v="46.22"/>
    <n v="2.2400000000000002"/>
    <x v="6"/>
    <s v="DOMINIO"/>
    <x v="1"/>
    <m/>
    <m/>
    <n v="3283"/>
    <n v="2856.21"/>
    <n v="3213.2362499999999"/>
  </r>
  <r>
    <x v="6"/>
    <x v="2"/>
    <x v="7"/>
    <x v="103"/>
    <x v="6"/>
    <x v="5"/>
    <n v="12.5"/>
    <n v="0"/>
    <x v="9"/>
    <s v="USO Y GOCE"/>
    <x v="0"/>
    <m/>
    <m/>
    <n v="320"/>
    <n v="320"/>
    <n v="360"/>
  </r>
  <r>
    <x v="6"/>
    <x v="2"/>
    <x v="7"/>
    <x v="116"/>
    <x v="20"/>
    <x v="6"/>
    <n v="12.5"/>
    <n v="0"/>
    <x v="4"/>
    <s v="DOMINIO"/>
    <x v="0"/>
    <m/>
    <m/>
    <n v="380"/>
    <n v="380"/>
    <n v="427.5"/>
  </r>
  <r>
    <x v="6"/>
    <x v="2"/>
    <x v="7"/>
    <x v="117"/>
    <x v="20"/>
    <x v="6"/>
    <n v="12.5"/>
    <n v="0"/>
    <x v="4"/>
    <s v="DOMINIO"/>
    <x v="0"/>
    <m/>
    <m/>
    <n v="400"/>
    <n v="400"/>
    <n v="450"/>
  </r>
  <r>
    <x v="6"/>
    <x v="2"/>
    <x v="7"/>
    <x v="120"/>
    <x v="20"/>
    <x v="6"/>
    <n v="12.5"/>
    <n v="0"/>
    <x v="4"/>
    <s v="DOMINIO"/>
    <x v="0"/>
    <m/>
    <m/>
    <n v="380"/>
    <n v="380"/>
    <n v="427.5"/>
  </r>
  <r>
    <x v="6"/>
    <x v="2"/>
    <x v="7"/>
    <x v="123"/>
    <x v="20"/>
    <x v="6"/>
    <n v="12.5"/>
    <n v="0"/>
    <x v="4"/>
    <s v="DOMINIO"/>
    <x v="0"/>
    <m/>
    <m/>
    <n v="380"/>
    <n v="380"/>
    <n v="427.5"/>
  </r>
  <r>
    <x v="6"/>
    <x v="2"/>
    <x v="7"/>
    <x v="129"/>
    <x v="20"/>
    <x v="6"/>
    <n v="12.5"/>
    <n v="0"/>
    <x v="4"/>
    <s v="DOMINIO"/>
    <x v="0"/>
    <m/>
    <m/>
    <n v="380"/>
    <n v="380"/>
    <n v="427.5"/>
  </r>
  <r>
    <x v="6"/>
    <x v="2"/>
    <x v="7"/>
    <x v="130"/>
    <x v="20"/>
    <x v="6"/>
    <n v="12.5"/>
    <n v="0"/>
    <x v="4"/>
    <s v="DOMINIO"/>
    <x v="0"/>
    <m/>
    <m/>
    <n v="380"/>
    <n v="380"/>
    <n v="427.5"/>
  </r>
  <r>
    <x v="6"/>
    <x v="2"/>
    <x v="7"/>
    <x v="131"/>
    <x v="20"/>
    <x v="6"/>
    <n v="12.5"/>
    <n v="0"/>
    <x v="4"/>
    <s v="DOMINIO"/>
    <x v="0"/>
    <m/>
    <m/>
    <n v="380"/>
    <n v="380"/>
    <n v="427.5"/>
  </r>
  <r>
    <x v="6"/>
    <x v="2"/>
    <x v="7"/>
    <x v="133"/>
    <x v="20"/>
    <x v="6"/>
    <n v="12.5"/>
    <n v="0"/>
    <x v="4"/>
    <s v="DOMINIO"/>
    <x v="0"/>
    <m/>
    <m/>
    <n v="380"/>
    <n v="380"/>
    <n v="427.5"/>
  </r>
  <r>
    <x v="6"/>
    <x v="2"/>
    <x v="7"/>
    <x v="143"/>
    <x v="20"/>
    <x v="6"/>
    <n v="12.5"/>
    <n v="0"/>
    <x v="4"/>
    <s v="DOMINIO"/>
    <x v="0"/>
    <m/>
    <m/>
    <n v="380"/>
    <n v="380"/>
    <n v="427.5"/>
  </r>
  <r>
    <x v="6"/>
    <x v="2"/>
    <x v="7"/>
    <x v="144"/>
    <x v="20"/>
    <x v="6"/>
    <n v="12.5"/>
    <n v="0"/>
    <x v="4"/>
    <s v="DOMINIO"/>
    <x v="0"/>
    <m/>
    <m/>
    <n v="380"/>
    <n v="380"/>
    <n v="427.5"/>
  </r>
  <r>
    <x v="6"/>
    <x v="2"/>
    <x v="7"/>
    <x v="168"/>
    <x v="20"/>
    <x v="6"/>
    <n v="12.5"/>
    <n v="0"/>
    <x v="4"/>
    <s v="DOMINIO"/>
    <x v="0"/>
    <m/>
    <m/>
    <n v="380"/>
    <n v="380"/>
    <n v="427.5"/>
  </r>
  <r>
    <x v="6"/>
    <x v="2"/>
    <x v="7"/>
    <x v="169"/>
    <x v="20"/>
    <x v="6"/>
    <n v="12.5"/>
    <n v="0"/>
    <x v="4"/>
    <s v="DOMINIO"/>
    <x v="0"/>
    <m/>
    <m/>
    <n v="380"/>
    <n v="380"/>
    <n v="427.5"/>
  </r>
  <r>
    <x v="6"/>
    <x v="2"/>
    <x v="7"/>
    <x v="398"/>
    <x v="20"/>
    <x v="6"/>
    <n v="12.5"/>
    <n v="0"/>
    <x v="4"/>
    <s v="DOMINIO"/>
    <x v="0"/>
    <m/>
    <m/>
    <n v="380"/>
    <n v="380"/>
    <n v="427.5"/>
  </r>
  <r>
    <x v="6"/>
    <x v="2"/>
    <x v="7"/>
    <x v="147"/>
    <x v="20"/>
    <x v="6"/>
    <n v="12.5"/>
    <n v="0"/>
    <x v="4"/>
    <s v="DOMINIO"/>
    <x v="1"/>
    <m/>
    <m/>
    <n v="400"/>
    <n v="400"/>
    <n v="450"/>
  </r>
  <r>
    <x v="6"/>
    <x v="2"/>
    <x v="7"/>
    <x v="173"/>
    <x v="20"/>
    <x v="6"/>
    <n v="12.5"/>
    <n v="0"/>
    <x v="4"/>
    <s v="DOMINIO"/>
    <x v="0"/>
    <m/>
    <m/>
    <n v="380"/>
    <n v="380"/>
    <n v="427.5"/>
  </r>
  <r>
    <x v="6"/>
    <x v="2"/>
    <x v="7"/>
    <x v="149"/>
    <x v="20"/>
    <x v="6"/>
    <n v="12.5"/>
    <n v="0"/>
    <x v="4"/>
    <s v="DOMINIO"/>
    <x v="0"/>
    <m/>
    <m/>
    <n v="380"/>
    <n v="380"/>
    <n v="427.5"/>
  </r>
  <r>
    <x v="6"/>
    <x v="2"/>
    <x v="7"/>
    <x v="175"/>
    <x v="20"/>
    <x v="6"/>
    <n v="12.5"/>
    <n v="0"/>
    <x v="4"/>
    <s v="DOMINIO"/>
    <x v="0"/>
    <m/>
    <m/>
    <n v="380"/>
    <n v="380"/>
    <n v="427.5"/>
  </r>
  <r>
    <x v="6"/>
    <x v="2"/>
    <x v="7"/>
    <x v="152"/>
    <x v="20"/>
    <x v="6"/>
    <n v="12.5"/>
    <n v="0"/>
    <x v="4"/>
    <s v="DOMINIO"/>
    <x v="0"/>
    <m/>
    <m/>
    <n v="380"/>
    <n v="380"/>
    <n v="427.5"/>
  </r>
  <r>
    <x v="6"/>
    <x v="2"/>
    <x v="7"/>
    <x v="193"/>
    <x v="20"/>
    <x v="6"/>
    <n v="12.5"/>
    <n v="0"/>
    <x v="4"/>
    <s v="DOMINIO"/>
    <x v="0"/>
    <m/>
    <m/>
    <n v="380"/>
    <n v="380"/>
    <n v="427.5"/>
  </r>
  <r>
    <x v="6"/>
    <x v="2"/>
    <x v="7"/>
    <x v="194"/>
    <x v="20"/>
    <x v="6"/>
    <n v="12.5"/>
    <n v="0"/>
    <x v="4"/>
    <s v="DOMINIO"/>
    <x v="0"/>
    <m/>
    <m/>
    <n v="380"/>
    <n v="380"/>
    <n v="427.5"/>
  </r>
  <r>
    <x v="6"/>
    <x v="2"/>
    <x v="7"/>
    <x v="7"/>
    <x v="20"/>
    <x v="6"/>
    <n v="12.5"/>
    <n v="0"/>
    <x v="4"/>
    <s v="DOMINIO"/>
    <x v="0"/>
    <m/>
    <m/>
    <n v="400"/>
    <n v="400"/>
    <n v="450"/>
  </r>
  <r>
    <x v="6"/>
    <x v="2"/>
    <x v="7"/>
    <x v="196"/>
    <x v="20"/>
    <x v="6"/>
    <n v="12.5"/>
    <n v="0"/>
    <x v="4"/>
    <s v="DOMINIO"/>
    <x v="0"/>
    <m/>
    <m/>
    <n v="380"/>
    <n v="380"/>
    <n v="427.5"/>
  </r>
  <r>
    <x v="6"/>
    <x v="2"/>
    <x v="7"/>
    <x v="199"/>
    <x v="20"/>
    <x v="6"/>
    <n v="12.5"/>
    <n v="0"/>
    <x v="4"/>
    <s v="DOMINIO"/>
    <x v="0"/>
    <m/>
    <m/>
    <n v="380"/>
    <n v="380"/>
    <n v="427.5"/>
  </r>
  <r>
    <x v="6"/>
    <x v="2"/>
    <x v="7"/>
    <x v="203"/>
    <x v="20"/>
    <x v="6"/>
    <n v="12.5"/>
    <n v="0"/>
    <x v="4"/>
    <s v="DOMINIO"/>
    <x v="0"/>
    <m/>
    <m/>
    <n v="380"/>
    <n v="380"/>
    <n v="427.5"/>
  </r>
  <r>
    <x v="6"/>
    <x v="2"/>
    <x v="7"/>
    <x v="585"/>
    <x v="6"/>
    <x v="5"/>
    <n v="12.5"/>
    <n v="0"/>
    <x v="9"/>
    <s v="USO Y GOCE"/>
    <x v="1"/>
    <m/>
    <m/>
    <n v="320"/>
    <n v="320"/>
    <n v="360"/>
  </r>
  <r>
    <x v="6"/>
    <x v="2"/>
    <x v="7"/>
    <x v="594"/>
    <x v="6"/>
    <x v="5"/>
    <n v="12.5"/>
    <n v="0"/>
    <x v="9"/>
    <s v="USO Y GOCE"/>
    <x v="0"/>
    <m/>
    <m/>
    <n v="320"/>
    <n v="320"/>
    <n v="360"/>
  </r>
  <r>
    <x v="7"/>
    <x v="0"/>
    <x v="3"/>
    <x v="204"/>
    <x v="6"/>
    <x v="0"/>
    <n v="36.9"/>
    <n v="2.2400000000000002"/>
    <x v="5"/>
    <s v="DOMINIO"/>
    <x v="0"/>
    <m/>
    <m/>
    <n v="2376"/>
    <n v="2138.4"/>
    <n v="2405.6999999999998"/>
  </r>
  <r>
    <x v="7"/>
    <x v="0"/>
    <x v="3"/>
    <x v="357"/>
    <x v="4"/>
    <x v="0"/>
    <n v="36.9"/>
    <n v="2.2400000000000002"/>
    <x v="6"/>
    <s v="DOMINIO"/>
    <x v="2"/>
    <m/>
    <s v="Assetplan"/>
    <n v="2376"/>
    <n v="2138.4"/>
    <n v="2405.6999999999998"/>
  </r>
  <r>
    <x v="7"/>
    <x v="0"/>
    <x v="3"/>
    <x v="307"/>
    <x v="4"/>
    <x v="0"/>
    <n v="36.9"/>
    <n v="2.2400000000000002"/>
    <x v="5"/>
    <s v="DOMINIO"/>
    <x v="2"/>
    <m/>
    <s v="Assetplan"/>
    <n v="2456"/>
    <n v="2210.4"/>
    <n v="2486.6999999999998"/>
  </r>
  <r>
    <x v="7"/>
    <x v="0"/>
    <x v="3"/>
    <x v="308"/>
    <x v="4"/>
    <x v="0"/>
    <n v="36.9"/>
    <n v="2.2400000000000002"/>
    <x v="5"/>
    <s v="DOMINIO"/>
    <x v="1"/>
    <m/>
    <m/>
    <n v="2456"/>
    <n v="2210.4"/>
    <n v="2486.6999999999998"/>
  </r>
  <r>
    <x v="7"/>
    <x v="0"/>
    <x v="3"/>
    <x v="11"/>
    <x v="7"/>
    <x v="0"/>
    <n v="36.9"/>
    <n v="2.2400000000000002"/>
    <x v="5"/>
    <s v="DOMINIO"/>
    <x v="2"/>
    <m/>
    <s v="Assetplan"/>
    <n v="2467"/>
    <n v="2220.3000000000002"/>
    <n v="2497.8375000000001"/>
  </r>
  <r>
    <x v="7"/>
    <x v="0"/>
    <x v="3"/>
    <x v="13"/>
    <x v="8"/>
    <x v="0"/>
    <n v="36.9"/>
    <n v="2.2400000000000002"/>
    <x v="5"/>
    <s v="DOMINIO"/>
    <x v="2"/>
    <m/>
    <s v="Assetplan"/>
    <n v="2479"/>
    <n v="2231.1"/>
    <n v="2509.9874999999997"/>
  </r>
  <r>
    <x v="7"/>
    <x v="0"/>
    <x v="3"/>
    <x v="15"/>
    <x v="9"/>
    <x v="0"/>
    <n v="36.9"/>
    <n v="2.2400000000000002"/>
    <x v="6"/>
    <s v="DOMINIO"/>
    <x v="2"/>
    <m/>
    <s v="Assetplan - Asociado Est 31A"/>
    <n v="2410"/>
    <n v="2169"/>
    <n v="2440.1249999999995"/>
  </r>
  <r>
    <x v="7"/>
    <x v="0"/>
    <x v="3"/>
    <x v="19"/>
    <x v="5"/>
    <x v="0"/>
    <n v="36.9"/>
    <n v="2.2400000000000002"/>
    <x v="6"/>
    <s v="DOMINIO"/>
    <x v="0"/>
    <m/>
    <m/>
    <n v="2422"/>
    <n v="2179.8000000000002"/>
    <n v="2452.2750000000001"/>
  </r>
  <r>
    <x v="7"/>
    <x v="0"/>
    <x v="3"/>
    <x v="23"/>
    <x v="10"/>
    <x v="0"/>
    <n v="36.9"/>
    <n v="2.2400000000000002"/>
    <x v="6"/>
    <s v="DOMINIO"/>
    <x v="2"/>
    <m/>
    <s v="Assetplan"/>
    <n v="2433"/>
    <n v="2189.7000000000003"/>
    <n v="2463.4125000000004"/>
  </r>
  <r>
    <x v="7"/>
    <x v="0"/>
    <x v="3"/>
    <x v="348"/>
    <x v="11"/>
    <x v="0"/>
    <n v="36.9"/>
    <n v="2.2400000000000002"/>
    <x v="5"/>
    <s v="DOMINIO"/>
    <x v="0"/>
    <m/>
    <m/>
    <n v="2525"/>
    <n v="2272.5"/>
    <n v="2556.5625"/>
  </r>
  <r>
    <x v="7"/>
    <x v="0"/>
    <x v="3"/>
    <x v="404"/>
    <x v="12"/>
    <x v="0"/>
    <n v="36.9"/>
    <n v="2.2400000000000002"/>
    <x v="5"/>
    <s v="DOMINIO"/>
    <x v="0"/>
    <m/>
    <m/>
    <n v="2530"/>
    <n v="2277"/>
    <n v="2561.625"/>
  </r>
  <r>
    <x v="7"/>
    <x v="0"/>
    <x v="3"/>
    <x v="542"/>
    <x v="13"/>
    <x v="0"/>
    <n v="36.9"/>
    <n v="2.2400000000000002"/>
    <x v="5"/>
    <s v="DOMINIO"/>
    <x v="1"/>
    <m/>
    <m/>
    <n v="2536"/>
    <n v="2282.4"/>
    <n v="2567.6999999999998"/>
  </r>
  <r>
    <x v="7"/>
    <x v="0"/>
    <x v="3"/>
    <x v="38"/>
    <x v="13"/>
    <x v="0"/>
    <n v="36.9"/>
    <n v="2.2400000000000002"/>
    <x v="5"/>
    <s v="DOMINIO"/>
    <x v="0"/>
    <m/>
    <m/>
    <n v="2536"/>
    <n v="2282.4"/>
    <n v="2567.6999999999998"/>
  </r>
  <r>
    <x v="7"/>
    <x v="0"/>
    <x v="4"/>
    <x v="400"/>
    <x v="12"/>
    <x v="0"/>
    <n v="42.83"/>
    <n v="2.2400000000000002"/>
    <x v="7"/>
    <s v="DOMINIO"/>
    <x v="0"/>
    <m/>
    <m/>
    <n v="2580"/>
    <n v="2322"/>
    <n v="2612.25"/>
  </r>
  <r>
    <x v="7"/>
    <x v="0"/>
    <x v="5"/>
    <x v="73"/>
    <x v="0"/>
    <x v="0"/>
    <n v="46.56"/>
    <n v="2.2400000000000002"/>
    <x v="8"/>
    <s v="DOMINIO"/>
    <x v="2"/>
    <m/>
    <s v="Assetplan - Asociado Est 40"/>
    <n v="2666"/>
    <n v="2399.4"/>
    <n v="2699.3249999999998"/>
  </r>
  <r>
    <x v="7"/>
    <x v="0"/>
    <x v="5"/>
    <x v="376"/>
    <x v="7"/>
    <x v="0"/>
    <n v="46.56"/>
    <n v="2.2400000000000002"/>
    <x v="8"/>
    <s v="DOMINIO"/>
    <x v="2"/>
    <m/>
    <s v="Assetplan"/>
    <n v="2689"/>
    <n v="2420.1"/>
    <n v="2722.6125000000002"/>
  </r>
  <r>
    <x v="7"/>
    <x v="0"/>
    <x v="5"/>
    <x v="79"/>
    <x v="10"/>
    <x v="0"/>
    <n v="46.18"/>
    <n v="2.2400000000000002"/>
    <x v="8"/>
    <s v="DOMINIO"/>
    <x v="2"/>
    <m/>
    <s v="Assetplan"/>
    <n v="2735"/>
    <n v="2461.5"/>
    <n v="2769.1874999999995"/>
  </r>
  <r>
    <x v="7"/>
    <x v="1"/>
    <x v="6"/>
    <x v="106"/>
    <x v="20"/>
    <x v="0"/>
    <n v="2.7"/>
    <n v="0"/>
    <x v="4"/>
    <s v="DOMINIO"/>
    <x v="2"/>
    <m/>
    <s v="Assetplan"/>
    <n v="80"/>
    <n v="80"/>
    <n v="90"/>
  </r>
  <r>
    <x v="7"/>
    <x v="2"/>
    <x v="7"/>
    <x v="115"/>
    <x v="6"/>
    <x v="0"/>
    <n v="12.5"/>
    <n v="0"/>
    <x v="9"/>
    <s v="USO Y GOCE"/>
    <x v="2"/>
    <m/>
    <s v="Assetplan - Asociado Dpto 405 A"/>
    <n v="250"/>
    <n v="250"/>
    <n v="281.25"/>
  </r>
  <r>
    <x v="7"/>
    <x v="2"/>
    <x v="7"/>
    <x v="125"/>
    <x v="20"/>
    <x v="0"/>
    <n v="12.5"/>
    <n v="0"/>
    <x v="4"/>
    <s v="DOMINIO"/>
    <x v="2"/>
    <m/>
    <s v="Assetplan"/>
    <n v="300"/>
    <n v="300"/>
    <n v="337.5"/>
  </r>
  <r>
    <x v="7"/>
    <x v="2"/>
    <x v="7"/>
    <x v="169"/>
    <x v="20"/>
    <x v="0"/>
    <n v="12.5"/>
    <n v="0"/>
    <x v="4"/>
    <s v="DOMINIO"/>
    <x v="0"/>
    <m/>
    <m/>
    <n v="320"/>
    <n v="320"/>
    <n v="360"/>
  </r>
  <r>
    <x v="7"/>
    <x v="2"/>
    <x v="7"/>
    <x v="399"/>
    <x v="20"/>
    <x v="0"/>
    <n v="12.5"/>
    <n v="0"/>
    <x v="4"/>
    <s v="DOMINIO"/>
    <x v="0"/>
    <s v="B - 4 A"/>
    <m/>
    <n v="320"/>
    <n v="320"/>
    <n v="360"/>
  </r>
  <r>
    <x v="7"/>
    <x v="2"/>
    <x v="7"/>
    <x v="149"/>
    <x v="20"/>
    <x v="0"/>
    <n v="12.5"/>
    <n v="0"/>
    <x v="4"/>
    <s v="DOMINIO"/>
    <x v="0"/>
    <m/>
    <m/>
    <n v="320"/>
    <n v="320"/>
    <n v="360"/>
  </r>
  <r>
    <x v="7"/>
    <x v="2"/>
    <x v="7"/>
    <x v="151"/>
    <x v="20"/>
    <x v="0"/>
    <n v="12.5"/>
    <n v="0"/>
    <x v="4"/>
    <s v="DOMINIO"/>
    <x v="2"/>
    <m/>
    <s v="Assetplan - Asociado Dpto 303 B"/>
    <n v="320"/>
    <n v="320"/>
    <n v="360"/>
  </r>
  <r>
    <x v="7"/>
    <x v="2"/>
    <x v="7"/>
    <x v="152"/>
    <x v="20"/>
    <x v="0"/>
    <n v="12.5"/>
    <n v="0"/>
    <x v="4"/>
    <s v="DOMINIO"/>
    <x v="0"/>
    <m/>
    <m/>
    <n v="320"/>
    <n v="320"/>
    <n v="360"/>
  </r>
  <r>
    <x v="7"/>
    <x v="2"/>
    <x v="7"/>
    <x v="177"/>
    <x v="20"/>
    <x v="0"/>
    <n v="12.5"/>
    <n v="0"/>
    <x v="4"/>
    <s v="DOMINIO"/>
    <x v="1"/>
    <m/>
    <m/>
    <n v="300"/>
    <n v="300"/>
    <n v="337.5"/>
  </r>
  <r>
    <x v="7"/>
    <x v="2"/>
    <x v="7"/>
    <x v="159"/>
    <x v="20"/>
    <x v="0"/>
    <n v="12.5"/>
    <n v="0"/>
    <x v="4"/>
    <s v="DOMINIO"/>
    <x v="0"/>
    <m/>
    <m/>
    <n v="320"/>
    <n v="320"/>
    <n v="360"/>
  </r>
  <r>
    <x v="7"/>
    <x v="2"/>
    <x v="7"/>
    <x v="160"/>
    <x v="20"/>
    <x v="0"/>
    <n v="12.5"/>
    <n v="0"/>
    <x v="4"/>
    <s v="DOMINIO"/>
    <x v="0"/>
    <m/>
    <m/>
    <n v="320"/>
    <n v="320"/>
    <n v="360"/>
  </r>
  <r>
    <x v="8"/>
    <x v="0"/>
    <x v="3"/>
    <x v="13"/>
    <x v="8"/>
    <x v="2"/>
    <n v="36.9"/>
    <n v="2.2400000000000002"/>
    <x v="5"/>
    <s v="DOMINIO"/>
    <x v="0"/>
    <m/>
    <m/>
    <n v="2479"/>
    <n v="2231.1"/>
    <n v="2509.9874999999997"/>
  </r>
  <r>
    <x v="8"/>
    <x v="0"/>
    <x v="3"/>
    <x v="348"/>
    <x v="11"/>
    <x v="2"/>
    <n v="36.9"/>
    <n v="2.2400000000000002"/>
    <x v="5"/>
    <s v="DOMINIO"/>
    <x v="0"/>
    <m/>
    <m/>
    <n v="2525"/>
    <n v="2272.5"/>
    <n v="2556.5625"/>
  </r>
  <r>
    <x v="8"/>
    <x v="0"/>
    <x v="3"/>
    <x v="29"/>
    <x v="11"/>
    <x v="2"/>
    <n v="36.9"/>
    <n v="2.2400000000000002"/>
    <x v="5"/>
    <s v="DOMINIO"/>
    <x v="0"/>
    <m/>
    <m/>
    <n v="2525"/>
    <n v="2272.5"/>
    <n v="2556.5625"/>
  </r>
  <r>
    <x v="8"/>
    <x v="0"/>
    <x v="3"/>
    <x v="404"/>
    <x v="12"/>
    <x v="2"/>
    <n v="36.9"/>
    <n v="2.2400000000000002"/>
    <x v="5"/>
    <s v="DOMINIO"/>
    <x v="0"/>
    <m/>
    <m/>
    <n v="2530"/>
    <n v="2277"/>
    <n v="2561.625"/>
  </r>
  <r>
    <x v="8"/>
    <x v="0"/>
    <x v="3"/>
    <x v="33"/>
    <x v="12"/>
    <x v="2"/>
    <n v="36.9"/>
    <n v="2.2400000000000002"/>
    <x v="5"/>
    <s v="DOMINIO"/>
    <x v="0"/>
    <m/>
    <m/>
    <n v="2530"/>
    <n v="2277"/>
    <n v="2561.625"/>
  </r>
  <r>
    <x v="8"/>
    <x v="0"/>
    <x v="3"/>
    <x v="542"/>
    <x v="13"/>
    <x v="2"/>
    <n v="36.9"/>
    <n v="2.2400000000000002"/>
    <x v="5"/>
    <s v="DOMINIO"/>
    <x v="0"/>
    <m/>
    <m/>
    <n v="2536"/>
    <n v="2282.4"/>
    <n v="2567.6999999999998"/>
  </r>
  <r>
    <x v="8"/>
    <x v="1"/>
    <x v="6"/>
    <x v="103"/>
    <x v="20"/>
    <x v="2"/>
    <n v="4"/>
    <n v="0"/>
    <x v="4"/>
    <s v="DOMINIO"/>
    <x v="0"/>
    <m/>
    <m/>
    <n v="80"/>
    <n v="80"/>
    <n v="90"/>
  </r>
  <r>
    <x v="8"/>
    <x v="2"/>
    <x v="7"/>
    <x v="146"/>
    <x v="20"/>
    <x v="2"/>
    <n v="12.5"/>
    <n v="0"/>
    <x v="4"/>
    <s v="DOMINIO"/>
    <x v="0"/>
    <m/>
    <m/>
    <n v="320"/>
    <n v="320"/>
    <n v="360"/>
  </r>
  <r>
    <x v="8"/>
    <x v="2"/>
    <x v="7"/>
    <x v="168"/>
    <x v="20"/>
    <x v="2"/>
    <n v="12.5"/>
    <n v="0"/>
    <x v="4"/>
    <s v="DOMINIO"/>
    <x v="0"/>
    <m/>
    <m/>
    <n v="320"/>
    <n v="320"/>
    <n v="360"/>
  </r>
  <r>
    <x v="8"/>
    <x v="2"/>
    <x v="7"/>
    <x v="169"/>
    <x v="20"/>
    <x v="2"/>
    <n v="12.5"/>
    <n v="0"/>
    <x v="4"/>
    <s v="DOMINIO"/>
    <x v="0"/>
    <m/>
    <m/>
    <n v="320"/>
    <n v="320"/>
    <n v="360"/>
  </r>
  <r>
    <x v="8"/>
    <x v="2"/>
    <x v="7"/>
    <x v="170"/>
    <x v="20"/>
    <x v="2"/>
    <n v="12.5"/>
    <n v="0"/>
    <x v="4"/>
    <s v="DOMINIO"/>
    <x v="0"/>
    <s v="B - 1 B"/>
    <m/>
    <n v="320"/>
    <n v="320"/>
    <n v="360"/>
  </r>
  <r>
    <x v="8"/>
    <x v="2"/>
    <x v="7"/>
    <x v="147"/>
    <x v="20"/>
    <x v="2"/>
    <n v="12.5"/>
    <n v="0"/>
    <x v="4"/>
    <s v="DOMINIO"/>
    <x v="0"/>
    <m/>
    <m/>
    <n v="320"/>
    <n v="320"/>
    <n v="360"/>
  </r>
  <r>
    <x v="8"/>
    <x v="2"/>
    <x v="7"/>
    <x v="151"/>
    <x v="20"/>
    <x v="2"/>
    <n v="12.5"/>
    <n v="0"/>
    <x v="4"/>
    <s v="DOMINIO"/>
    <x v="0"/>
    <m/>
    <m/>
    <n v="320"/>
    <n v="320"/>
    <n v="360"/>
  </r>
  <r>
    <x v="8"/>
    <x v="2"/>
    <x v="7"/>
    <x v="152"/>
    <x v="20"/>
    <x v="2"/>
    <n v="12.5"/>
    <n v="0"/>
    <x v="4"/>
    <s v="DOMINIO"/>
    <x v="0"/>
    <m/>
    <m/>
    <n v="320"/>
    <n v="320"/>
    <n v="360"/>
  </r>
  <r>
    <x v="8"/>
    <x v="2"/>
    <x v="7"/>
    <x v="153"/>
    <x v="20"/>
    <x v="2"/>
    <n v="12.5"/>
    <n v="0"/>
    <x v="4"/>
    <s v="DOMINIO"/>
    <x v="0"/>
    <m/>
    <m/>
    <n v="320"/>
    <n v="320"/>
    <n v="360"/>
  </r>
  <r>
    <x v="8"/>
    <x v="2"/>
    <x v="7"/>
    <x v="154"/>
    <x v="20"/>
    <x v="2"/>
    <n v="12.5"/>
    <n v="0"/>
    <x v="4"/>
    <s v="DOMINIO"/>
    <x v="0"/>
    <m/>
    <m/>
    <n v="320"/>
    <n v="320"/>
    <n v="360"/>
  </r>
  <r>
    <x v="8"/>
    <x v="2"/>
    <x v="7"/>
    <x v="156"/>
    <x v="20"/>
    <x v="2"/>
    <n v="12.5"/>
    <n v="0"/>
    <x v="4"/>
    <s v="DOMINIO"/>
    <x v="0"/>
    <m/>
    <m/>
    <n v="320"/>
    <n v="320"/>
    <n v="360"/>
  </r>
  <r>
    <x v="8"/>
    <x v="2"/>
    <x v="7"/>
    <x v="159"/>
    <x v="20"/>
    <x v="2"/>
    <n v="12.5"/>
    <n v="0"/>
    <x v="4"/>
    <s v="DOMINIO"/>
    <x v="0"/>
    <m/>
    <m/>
    <n v="320"/>
    <n v="320"/>
    <n v="360"/>
  </r>
  <r>
    <x v="8"/>
    <x v="2"/>
    <x v="7"/>
    <x v="160"/>
    <x v="20"/>
    <x v="2"/>
    <n v="12.5"/>
    <n v="0"/>
    <x v="4"/>
    <s v="DOMINIO"/>
    <x v="0"/>
    <m/>
    <m/>
    <n v="320"/>
    <n v="320"/>
    <n v="360"/>
  </r>
  <r>
    <x v="8"/>
    <x v="2"/>
    <x v="7"/>
    <x v="161"/>
    <x v="20"/>
    <x v="2"/>
    <n v="12.5"/>
    <n v="0"/>
    <x v="4"/>
    <s v="DOMINIO"/>
    <x v="0"/>
    <m/>
    <m/>
    <n v="320"/>
    <n v="320"/>
    <n v="360"/>
  </r>
  <r>
    <x v="9"/>
    <x v="0"/>
    <x v="3"/>
    <x v="277"/>
    <x v="3"/>
    <x v="7"/>
    <n v="36.9"/>
    <n v="2.2400000000000002"/>
    <x v="1"/>
    <s v="DOMINIO"/>
    <x v="1"/>
    <m/>
    <m/>
    <n v="2484"/>
    <n v="2235.6"/>
    <n v="2515.0499999999997"/>
  </r>
  <r>
    <x v="9"/>
    <x v="0"/>
    <x v="3"/>
    <x v="277"/>
    <x v="3"/>
    <x v="8"/>
    <n v="36.9"/>
    <n v="2.2400000000000002"/>
    <x v="5"/>
    <s v="DOMINIO"/>
    <x v="0"/>
    <m/>
    <m/>
    <n v="2519"/>
    <n v="2267.1"/>
    <n v="2550.4874999999997"/>
  </r>
  <r>
    <x v="9"/>
    <x v="0"/>
    <x v="3"/>
    <x v="369"/>
    <x v="3"/>
    <x v="7"/>
    <n v="36.9"/>
    <n v="2.2400000000000002"/>
    <x v="1"/>
    <s v="DOMINIO"/>
    <x v="0"/>
    <m/>
    <m/>
    <n v="2484"/>
    <n v="2235.6"/>
    <n v="2515.0499999999997"/>
  </r>
  <r>
    <x v="9"/>
    <x v="0"/>
    <x v="3"/>
    <x v="369"/>
    <x v="3"/>
    <x v="9"/>
    <n v="36.9"/>
    <n v="2.2400000000000002"/>
    <x v="3"/>
    <s v="DOMINIO"/>
    <x v="1"/>
    <m/>
    <m/>
    <n v="2507"/>
    <n v="2256.3000000000002"/>
    <n v="2538.3375000000001"/>
  </r>
  <r>
    <x v="9"/>
    <x v="0"/>
    <x v="3"/>
    <x v="388"/>
    <x v="3"/>
    <x v="7"/>
    <n v="36.9"/>
    <n v="2.2400000000000002"/>
    <x v="2"/>
    <s v="DOMINIO"/>
    <x v="0"/>
    <m/>
    <m/>
    <n v="2460"/>
    <n v="2164.8000000000002"/>
    <n v="2435.4"/>
  </r>
  <r>
    <x v="9"/>
    <x v="0"/>
    <x v="3"/>
    <x v="291"/>
    <x v="3"/>
    <x v="10"/>
    <n v="36.9"/>
    <n v="2.2400000000000002"/>
    <x v="5"/>
    <s v="DOMINIO"/>
    <x v="1"/>
    <m/>
    <m/>
    <n v="2519"/>
    <n v="2216.7199999999998"/>
    <n v="2493.8099999999995"/>
  </r>
  <r>
    <x v="9"/>
    <x v="0"/>
    <x v="3"/>
    <x v="351"/>
    <x v="3"/>
    <x v="7"/>
    <n v="38.020000000000003"/>
    <n v="2.4500000000000002"/>
    <x v="2"/>
    <s v="DOMINIO"/>
    <x v="1"/>
    <m/>
    <m/>
    <n v="2460"/>
    <n v="2164.8000000000002"/>
    <n v="2435.4"/>
  </r>
  <r>
    <x v="9"/>
    <x v="0"/>
    <x v="3"/>
    <x v="351"/>
    <x v="3"/>
    <x v="0"/>
    <n v="37.99"/>
    <n v="2.4500000000000002"/>
    <x v="1"/>
    <s v="DOMINIO"/>
    <x v="0"/>
    <m/>
    <m/>
    <n v="2484"/>
    <n v="2185.92"/>
    <n v="2459.16"/>
  </r>
  <r>
    <x v="9"/>
    <x v="0"/>
    <x v="3"/>
    <x v="370"/>
    <x v="3"/>
    <x v="10"/>
    <n v="36.9"/>
    <n v="2.2400000000000002"/>
    <x v="7"/>
    <s v="DOMINIO"/>
    <x v="1"/>
    <m/>
    <m/>
    <n v="2472"/>
    <n v="2175.36"/>
    <n v="2447.2799999999997"/>
  </r>
  <r>
    <x v="9"/>
    <x v="0"/>
    <x v="3"/>
    <x v="370"/>
    <x v="3"/>
    <x v="7"/>
    <n v="36.9"/>
    <n v="2.2400000000000002"/>
    <x v="8"/>
    <s v="DOMINIO"/>
    <x v="0"/>
    <m/>
    <m/>
    <n v="2495"/>
    <n v="2195.6"/>
    <n v="2470.0499999999997"/>
  </r>
  <r>
    <x v="9"/>
    <x v="0"/>
    <x v="3"/>
    <x v="73"/>
    <x v="0"/>
    <x v="10"/>
    <n v="36.9"/>
    <n v="2.2400000000000002"/>
    <x v="6"/>
    <s v="DOMINIO"/>
    <x v="0"/>
    <m/>
    <m/>
    <n v="2448"/>
    <n v="2154.2400000000002"/>
    <n v="2423.52"/>
  </r>
  <r>
    <x v="9"/>
    <x v="0"/>
    <x v="3"/>
    <x v="73"/>
    <x v="0"/>
    <x v="9"/>
    <n v="36.9"/>
    <n v="2.2400000000000002"/>
    <x v="3"/>
    <s v="DOMINIO"/>
    <x v="1"/>
    <m/>
    <m/>
    <n v="2519"/>
    <n v="2216.7199999999998"/>
    <n v="2493.8099999999995"/>
  </r>
  <r>
    <x v="9"/>
    <x v="0"/>
    <x v="3"/>
    <x v="372"/>
    <x v="0"/>
    <x v="11"/>
    <n v="36.9"/>
    <n v="2.2400000000000002"/>
    <x v="2"/>
    <s v="DOMINIO"/>
    <x v="1"/>
    <m/>
    <m/>
    <n v="2472"/>
    <n v="2175.36"/>
    <n v="2447.2799999999997"/>
  </r>
  <r>
    <x v="9"/>
    <x v="0"/>
    <x v="3"/>
    <x v="354"/>
    <x v="0"/>
    <x v="9"/>
    <n v="38.020000000000003"/>
    <n v="2.4500000000000002"/>
    <x v="0"/>
    <s v="DOMINIO"/>
    <x v="1"/>
    <m/>
    <m/>
    <n v="2460"/>
    <n v="2164.8000000000002"/>
    <n v="2435.4"/>
  </r>
  <r>
    <x v="9"/>
    <x v="0"/>
    <x v="3"/>
    <x v="354"/>
    <x v="0"/>
    <x v="0"/>
    <n v="37.99"/>
    <n v="2.4500000000000002"/>
    <x v="1"/>
    <s v="DOMINIO"/>
    <x v="0"/>
    <m/>
    <m/>
    <n v="2495"/>
    <n v="2195.6"/>
    <n v="2470.0499999999997"/>
  </r>
  <r>
    <x v="9"/>
    <x v="0"/>
    <x v="3"/>
    <x v="402"/>
    <x v="0"/>
    <x v="0"/>
    <n v="36.9"/>
    <n v="2.2400000000000002"/>
    <x v="2"/>
    <s v="DOMINIO"/>
    <x v="0"/>
    <m/>
    <m/>
    <n v="2472"/>
    <n v="2175.36"/>
    <n v="2447.2799999999997"/>
  </r>
  <r>
    <x v="9"/>
    <x v="0"/>
    <x v="3"/>
    <x v="402"/>
    <x v="0"/>
    <x v="9"/>
    <n v="36.9"/>
    <n v="2.2400000000000002"/>
    <x v="1"/>
    <s v="DOMINIO"/>
    <x v="0"/>
    <m/>
    <m/>
    <n v="2495"/>
    <n v="2195.6"/>
    <n v="2470.0499999999997"/>
  </r>
  <r>
    <x v="9"/>
    <x v="0"/>
    <x v="3"/>
    <x v="402"/>
    <x v="0"/>
    <x v="8"/>
    <n v="36.9"/>
    <n v="2.2400000000000002"/>
    <x v="8"/>
    <s v="DOMINIO"/>
    <x v="0"/>
    <m/>
    <m/>
    <n v="2507"/>
    <n v="2206.16"/>
    <n v="2481.9299999999998"/>
  </r>
  <r>
    <x v="9"/>
    <x v="0"/>
    <x v="3"/>
    <x v="402"/>
    <x v="0"/>
    <x v="7"/>
    <n v="36.9"/>
    <n v="2.2400000000000002"/>
    <x v="3"/>
    <s v="DOMINIO"/>
    <x v="1"/>
    <m/>
    <m/>
    <n v="2519"/>
    <n v="2216.7199999999998"/>
    <n v="2493.8099999999995"/>
  </r>
  <r>
    <x v="9"/>
    <x v="0"/>
    <x v="3"/>
    <x v="280"/>
    <x v="4"/>
    <x v="7"/>
    <n v="36.9"/>
    <n v="2.2400000000000002"/>
    <x v="1"/>
    <s v="DOMINIO"/>
    <x v="0"/>
    <m/>
    <m/>
    <n v="2507"/>
    <n v="2206.16"/>
    <n v="2481.9299999999998"/>
  </r>
  <r>
    <x v="9"/>
    <x v="0"/>
    <x v="3"/>
    <x v="280"/>
    <x v="4"/>
    <x v="2"/>
    <n v="36.9"/>
    <n v="2.2400000000000002"/>
    <x v="3"/>
    <s v="DOMINIO"/>
    <x v="0"/>
    <m/>
    <m/>
    <n v="2531"/>
    <n v="2227.2800000000002"/>
    <n v="2505.69"/>
  </r>
  <r>
    <x v="9"/>
    <x v="0"/>
    <x v="3"/>
    <x v="374"/>
    <x v="4"/>
    <x v="0"/>
    <n v="36.9"/>
    <n v="2.2400000000000002"/>
    <x v="0"/>
    <s v="DOMINIO"/>
    <x v="0"/>
    <m/>
    <m/>
    <n v="2472"/>
    <n v="2175.36"/>
    <n v="2447.2799999999997"/>
  </r>
  <r>
    <x v="9"/>
    <x v="0"/>
    <x v="3"/>
    <x v="374"/>
    <x v="4"/>
    <x v="7"/>
    <n v="36.9"/>
    <n v="2.2400000000000002"/>
    <x v="1"/>
    <s v="DOMINIO"/>
    <x v="1"/>
    <m/>
    <m/>
    <n v="2507"/>
    <n v="2206.16"/>
    <n v="2481.9299999999998"/>
  </r>
  <r>
    <x v="9"/>
    <x v="0"/>
    <x v="3"/>
    <x v="374"/>
    <x v="4"/>
    <x v="2"/>
    <n v="36.9"/>
    <n v="2.2400000000000002"/>
    <x v="3"/>
    <s v="DOMINIO"/>
    <x v="1"/>
    <m/>
    <m/>
    <n v="2531"/>
    <n v="2227.2800000000002"/>
    <n v="2505.69"/>
  </r>
  <r>
    <x v="9"/>
    <x v="0"/>
    <x v="3"/>
    <x v="374"/>
    <x v="4"/>
    <x v="9"/>
    <n v="36.9"/>
    <n v="2.2400000000000002"/>
    <x v="3"/>
    <s v="DOMINIO"/>
    <x v="0"/>
    <m/>
    <m/>
    <n v="2531"/>
    <n v="2227.2800000000002"/>
    <n v="2505.69"/>
  </r>
  <r>
    <x v="9"/>
    <x v="0"/>
    <x v="3"/>
    <x v="374"/>
    <x v="4"/>
    <x v="12"/>
    <n v="36.9"/>
    <n v="2.2400000000000002"/>
    <x v="3"/>
    <s v="DOMINIO"/>
    <x v="0"/>
    <m/>
    <m/>
    <n v="2531"/>
    <n v="2227.2800000000002"/>
    <n v="2505.69"/>
  </r>
  <r>
    <x v="9"/>
    <x v="0"/>
    <x v="3"/>
    <x v="515"/>
    <x v="4"/>
    <x v="7"/>
    <n v="36.9"/>
    <n v="2.2400000000000002"/>
    <x v="2"/>
    <s v="DOMINIO"/>
    <x v="1"/>
    <m/>
    <m/>
    <n v="2484"/>
    <n v="2185.92"/>
    <n v="2459.16"/>
  </r>
  <r>
    <x v="9"/>
    <x v="0"/>
    <x v="3"/>
    <x v="305"/>
    <x v="4"/>
    <x v="9"/>
    <n v="36.9"/>
    <n v="2.2400000000000002"/>
    <x v="0"/>
    <s v="DOMINIO"/>
    <x v="1"/>
    <m/>
    <m/>
    <n v="2472"/>
    <n v="2175.36"/>
    <n v="2447.2799999999997"/>
  </r>
  <r>
    <x v="9"/>
    <x v="0"/>
    <x v="3"/>
    <x v="305"/>
    <x v="4"/>
    <x v="2"/>
    <n v="36.9"/>
    <n v="2.2400000000000002"/>
    <x v="0"/>
    <s v="DOMINIO"/>
    <x v="0"/>
    <m/>
    <m/>
    <n v="2472"/>
    <n v="2175.36"/>
    <n v="2447.2799999999997"/>
  </r>
  <r>
    <x v="9"/>
    <x v="0"/>
    <x v="3"/>
    <x v="357"/>
    <x v="4"/>
    <x v="0"/>
    <n v="37.99"/>
    <n v="2.4500000000000002"/>
    <x v="3"/>
    <s v="DOMINIO"/>
    <x v="0"/>
    <m/>
    <m/>
    <n v="2531"/>
    <n v="2227.2800000000002"/>
    <n v="2505.69"/>
  </r>
  <r>
    <x v="9"/>
    <x v="0"/>
    <x v="3"/>
    <x v="375"/>
    <x v="4"/>
    <x v="10"/>
    <n v="36.9"/>
    <n v="2.2400000000000002"/>
    <x v="7"/>
    <s v="DOMINIO"/>
    <x v="0"/>
    <m/>
    <m/>
    <n v="2495"/>
    <n v="2195.6"/>
    <n v="2470.0499999999997"/>
  </r>
  <r>
    <x v="9"/>
    <x v="0"/>
    <x v="3"/>
    <x v="375"/>
    <x v="4"/>
    <x v="2"/>
    <n v="36.9"/>
    <n v="2.2400000000000002"/>
    <x v="1"/>
    <s v="DOMINIO"/>
    <x v="0"/>
    <m/>
    <m/>
    <n v="2507"/>
    <n v="2206.16"/>
    <n v="2481.9299999999998"/>
  </r>
  <r>
    <x v="9"/>
    <x v="0"/>
    <x v="3"/>
    <x v="375"/>
    <x v="4"/>
    <x v="7"/>
    <n v="36.9"/>
    <n v="2.2400000000000002"/>
    <x v="3"/>
    <s v="DOMINIO"/>
    <x v="1"/>
    <m/>
    <m/>
    <n v="2531"/>
    <n v="2227.2800000000002"/>
    <n v="2505.69"/>
  </r>
  <r>
    <x v="9"/>
    <x v="1"/>
    <x v="6"/>
    <x v="103"/>
    <x v="6"/>
    <x v="2"/>
    <n v="6.63"/>
    <n v="0"/>
    <x v="4"/>
    <s v="DOMINIO"/>
    <x v="0"/>
    <m/>
    <m/>
    <n v="90"/>
    <n v="90"/>
    <n v="101.25"/>
  </r>
  <r>
    <x v="9"/>
    <x v="1"/>
    <x v="6"/>
    <x v="103"/>
    <x v="6"/>
    <x v="8"/>
    <n v="6.63"/>
    <n v="0"/>
    <x v="4"/>
    <s v="DOMINIO"/>
    <x v="0"/>
    <m/>
    <m/>
    <n v="90"/>
    <n v="90"/>
    <n v="101.25"/>
  </r>
  <r>
    <x v="9"/>
    <x v="1"/>
    <x v="6"/>
    <x v="104"/>
    <x v="6"/>
    <x v="0"/>
    <n v="3.13"/>
    <n v="0"/>
    <x v="4"/>
    <s v="DOMINIO"/>
    <x v="1"/>
    <m/>
    <m/>
    <n v="40"/>
    <n v="40"/>
    <n v="45"/>
  </r>
  <r>
    <x v="9"/>
    <x v="1"/>
    <x v="6"/>
    <x v="105"/>
    <x v="3"/>
    <x v="2"/>
    <n v="3.46"/>
    <n v="0"/>
    <x v="4"/>
    <s v="DOMINIO"/>
    <x v="0"/>
    <m/>
    <m/>
    <n v="90"/>
    <n v="90"/>
    <n v="101.25"/>
  </r>
  <r>
    <x v="9"/>
    <x v="1"/>
    <x v="6"/>
    <x v="105"/>
    <x v="3"/>
    <x v="8"/>
    <n v="3.46"/>
    <n v="0"/>
    <x v="4"/>
    <s v="DOMINIO"/>
    <x v="0"/>
    <m/>
    <m/>
    <n v="90"/>
    <n v="90"/>
    <n v="101.25"/>
  </r>
  <r>
    <x v="9"/>
    <x v="1"/>
    <x v="6"/>
    <x v="107"/>
    <x v="3"/>
    <x v="2"/>
    <n v="2.62"/>
    <n v="0"/>
    <x v="4"/>
    <s v="DOMINIO"/>
    <x v="0"/>
    <m/>
    <m/>
    <n v="60"/>
    <n v="60"/>
    <n v="67.5"/>
  </r>
  <r>
    <x v="9"/>
    <x v="1"/>
    <x v="6"/>
    <x v="107"/>
    <x v="3"/>
    <x v="7"/>
    <n v="2.62"/>
    <n v="0"/>
    <x v="4"/>
    <s v="DOMINIO"/>
    <x v="0"/>
    <m/>
    <m/>
    <n v="60"/>
    <n v="60"/>
    <n v="67.5"/>
  </r>
  <r>
    <x v="9"/>
    <x v="1"/>
    <x v="6"/>
    <x v="273"/>
    <x v="3"/>
    <x v="7"/>
    <n v="4.45"/>
    <n v="0"/>
    <x v="4"/>
    <s v="DOMINIO"/>
    <x v="1"/>
    <m/>
    <m/>
    <n v="42"/>
    <n v="42"/>
    <n v="47.249999999999993"/>
  </r>
  <r>
    <x v="9"/>
    <x v="1"/>
    <x v="6"/>
    <x v="108"/>
    <x v="0"/>
    <x v="7"/>
    <n v="6.63"/>
    <n v="0"/>
    <x v="4"/>
    <s v="DOMINIO"/>
    <x v="0"/>
    <m/>
    <m/>
    <n v="100"/>
    <n v="100"/>
    <n v="112.5"/>
  </r>
  <r>
    <x v="9"/>
    <x v="1"/>
    <x v="6"/>
    <x v="108"/>
    <x v="3"/>
    <x v="0"/>
    <n v="4.45"/>
    <n v="0"/>
    <x v="4"/>
    <s v="DOMINIO"/>
    <x v="0"/>
    <m/>
    <m/>
    <n v="57"/>
    <n v="57"/>
    <n v="64.124999999999986"/>
  </r>
  <r>
    <x v="9"/>
    <x v="1"/>
    <x v="6"/>
    <x v="108"/>
    <x v="0"/>
    <x v="8"/>
    <n v="6.63"/>
    <n v="0"/>
    <x v="4"/>
    <s v="DOMINIO"/>
    <x v="0"/>
    <m/>
    <m/>
    <n v="90"/>
    <n v="90"/>
    <n v="101.25"/>
  </r>
  <r>
    <x v="9"/>
    <x v="1"/>
    <x v="6"/>
    <x v="109"/>
    <x v="3"/>
    <x v="0"/>
    <n v="2.72"/>
    <n v="0"/>
    <x v="4"/>
    <s v="DOMINIO"/>
    <x v="0"/>
    <m/>
    <m/>
    <n v="60"/>
    <n v="60"/>
    <n v="67.5"/>
  </r>
  <r>
    <x v="9"/>
    <x v="1"/>
    <x v="6"/>
    <x v="274"/>
    <x v="0"/>
    <x v="2"/>
    <n v="2.62"/>
    <n v="0"/>
    <x v="4"/>
    <s v="DOMINIO"/>
    <x v="0"/>
    <m/>
    <m/>
    <n v="60"/>
    <n v="60"/>
    <n v="67.5"/>
  </r>
  <r>
    <x v="9"/>
    <x v="1"/>
    <x v="6"/>
    <x v="110"/>
    <x v="0"/>
    <x v="2"/>
    <n v="4.45"/>
    <n v="0"/>
    <x v="4"/>
    <s v="DOMINIO"/>
    <x v="0"/>
    <m/>
    <m/>
    <n v="90"/>
    <n v="90"/>
    <n v="101.25"/>
  </r>
  <r>
    <x v="9"/>
    <x v="1"/>
    <x v="6"/>
    <x v="110"/>
    <x v="0"/>
    <x v="8"/>
    <n v="4.45"/>
    <n v="0"/>
    <x v="4"/>
    <s v="DOMINIO"/>
    <x v="0"/>
    <m/>
    <m/>
    <n v="70"/>
    <n v="70"/>
    <n v="78.75"/>
  </r>
  <r>
    <x v="9"/>
    <x v="1"/>
    <x v="6"/>
    <x v="111"/>
    <x v="0"/>
    <x v="0"/>
    <n v="2.62"/>
    <n v="0"/>
    <x v="4"/>
    <s v="DOMINIO"/>
    <x v="0"/>
    <m/>
    <m/>
    <n v="60"/>
    <n v="60"/>
    <n v="67.5"/>
  </r>
  <r>
    <x v="9"/>
    <x v="1"/>
    <x v="6"/>
    <x v="112"/>
    <x v="4"/>
    <x v="2"/>
    <n v="3.46"/>
    <n v="0"/>
    <x v="4"/>
    <s v="DOMINIO"/>
    <x v="0"/>
    <m/>
    <m/>
    <n v="90"/>
    <n v="90"/>
    <n v="101.25"/>
  </r>
  <r>
    <x v="9"/>
    <x v="1"/>
    <x v="6"/>
    <x v="114"/>
    <x v="4"/>
    <x v="2"/>
    <n v="2.62"/>
    <n v="0"/>
    <x v="4"/>
    <s v="DOMINIO"/>
    <x v="0"/>
    <m/>
    <m/>
    <n v="60"/>
    <n v="60"/>
    <n v="67.5"/>
  </r>
  <r>
    <x v="9"/>
    <x v="1"/>
    <x v="6"/>
    <x v="115"/>
    <x v="4"/>
    <x v="2"/>
    <n v="4.45"/>
    <n v="0"/>
    <x v="4"/>
    <s v="DOMINIO"/>
    <x v="0"/>
    <m/>
    <m/>
    <n v="90"/>
    <n v="90"/>
    <n v="101.25"/>
  </r>
  <r>
    <x v="9"/>
    <x v="1"/>
    <x v="6"/>
    <x v="117"/>
    <x v="4"/>
    <x v="0"/>
    <n v="2.62"/>
    <n v="0"/>
    <x v="4"/>
    <s v="DOMINIO"/>
    <x v="0"/>
    <m/>
    <m/>
    <n v="60"/>
    <n v="60"/>
    <n v="67.5"/>
  </r>
  <r>
    <x v="9"/>
    <x v="1"/>
    <x v="6"/>
    <x v="118"/>
    <x v="4"/>
    <x v="9"/>
    <n v="2.73"/>
    <n v="0"/>
    <x v="4"/>
    <s v="DOMINIO"/>
    <x v="0"/>
    <m/>
    <m/>
    <n v="60"/>
    <n v="60"/>
    <n v="67.5"/>
  </r>
  <r>
    <x v="9"/>
    <x v="2"/>
    <x v="7"/>
    <x v="104"/>
    <x v="6"/>
    <x v="5"/>
    <n v="12.5"/>
    <n v="0"/>
    <x v="9"/>
    <s v="USO Y GOCE"/>
    <x v="2"/>
    <m/>
    <s v="Assetplan - Asociado Dpto 113A"/>
    <n v="322"/>
    <n v="322"/>
    <n v="362.25"/>
  </r>
  <r>
    <x v="9"/>
    <x v="2"/>
    <x v="7"/>
    <x v="105"/>
    <x v="6"/>
    <x v="5"/>
    <n v="12.5"/>
    <n v="0"/>
    <x v="9"/>
    <s v="USO Y GOCE"/>
    <x v="2"/>
    <m/>
    <s v="Assetplan - Asociado Dpto 314A"/>
    <n v="250"/>
    <n v="250"/>
    <n v="281.25"/>
  </r>
  <r>
    <x v="9"/>
    <x v="2"/>
    <x v="7"/>
    <x v="106"/>
    <x v="6"/>
    <x v="5"/>
    <n v="12.5"/>
    <n v="0"/>
    <x v="9"/>
    <s v="USO Y GOCE"/>
    <x v="2"/>
    <m/>
    <s v="Assetplan - Asociado Dpto 212B"/>
    <n v="250"/>
    <n v="250"/>
    <n v="281.25"/>
  </r>
  <r>
    <x v="9"/>
    <x v="2"/>
    <x v="7"/>
    <x v="112"/>
    <x v="6"/>
    <x v="5"/>
    <n v="12.5"/>
    <n v="0"/>
    <x v="9"/>
    <s v="USO Y GOCE"/>
    <x v="2"/>
    <m/>
    <s v="Assetplan - Asociado Dpto 412B"/>
    <n v="290"/>
    <n v="290"/>
    <n v="326.25"/>
  </r>
  <r>
    <x v="9"/>
    <x v="2"/>
    <x v="7"/>
    <x v="122"/>
    <x v="6"/>
    <x v="5"/>
    <n v="12.5"/>
    <n v="0"/>
    <x v="9"/>
    <s v="USO Y GOCE"/>
    <x v="2"/>
    <m/>
    <s v="Assetplan - Asociado Dpto 414B"/>
    <n v="250"/>
    <n v="250"/>
    <n v="281.25"/>
  </r>
  <r>
    <x v="9"/>
    <x v="2"/>
    <x v="7"/>
    <x v="143"/>
    <x v="6"/>
    <x v="5"/>
    <n v="12.5"/>
    <n v="0"/>
    <x v="9"/>
    <s v="USO Y GOCE"/>
    <x v="1"/>
    <m/>
    <m/>
    <n v="250"/>
    <n v="250"/>
    <n v="281.25"/>
  </r>
  <r>
    <x v="9"/>
    <x v="2"/>
    <x v="7"/>
    <x v="192"/>
    <x v="6"/>
    <x v="5"/>
    <n v="12.5"/>
    <n v="0"/>
    <x v="9"/>
    <s v="USO Y GOCE"/>
    <x v="2"/>
    <m/>
    <s v="Assetplan - Asociado Dpto 312E"/>
    <n v="250"/>
    <n v="250"/>
    <n v="281.25"/>
  </r>
  <r>
    <x v="9"/>
    <x v="2"/>
    <x v="7"/>
    <x v="194"/>
    <x v="6"/>
    <x v="5"/>
    <n v="12.5"/>
    <n v="0"/>
    <x v="9"/>
    <s v="USO Y GOCE"/>
    <x v="0"/>
    <m/>
    <m/>
    <n v="250"/>
    <n v="250"/>
    <n v="281.25"/>
  </r>
  <r>
    <x v="9"/>
    <x v="2"/>
    <x v="7"/>
    <x v="7"/>
    <x v="6"/>
    <x v="5"/>
    <n v="12.5"/>
    <n v="0"/>
    <x v="9"/>
    <s v="USO Y GOCE"/>
    <x v="0"/>
    <m/>
    <m/>
    <n v="250"/>
    <n v="250"/>
    <n v="281.25"/>
  </r>
  <r>
    <x v="9"/>
    <x v="2"/>
    <x v="7"/>
    <x v="197"/>
    <x v="6"/>
    <x v="5"/>
    <n v="12.5"/>
    <n v="0"/>
    <x v="9"/>
    <s v="USO Y GOCE"/>
    <x v="1"/>
    <m/>
    <m/>
    <n v="300"/>
    <n v="300"/>
    <n v="337.5"/>
  </r>
  <r>
    <x v="9"/>
    <x v="2"/>
    <x v="7"/>
    <x v="200"/>
    <x v="6"/>
    <x v="5"/>
    <n v="12.5"/>
    <n v="0"/>
    <x v="9"/>
    <s v="USO Y GOCE"/>
    <x v="0"/>
    <m/>
    <m/>
    <n v="200"/>
    <n v="200"/>
    <n v="225"/>
  </r>
  <r>
    <x v="9"/>
    <x v="2"/>
    <x v="7"/>
    <x v="203"/>
    <x v="6"/>
    <x v="5"/>
    <n v="12.5"/>
    <n v="0"/>
    <x v="9"/>
    <s v="USO Y GOCE"/>
    <x v="2"/>
    <m/>
    <s v="Assetplan - Asociado Dpto 106H"/>
    <n v="250"/>
    <n v="250"/>
    <n v="281.25"/>
  </r>
  <r>
    <x v="9"/>
    <x v="2"/>
    <x v="7"/>
    <x v="205"/>
    <x v="6"/>
    <x v="5"/>
    <n v="12.5"/>
    <n v="0"/>
    <x v="9"/>
    <s v="USO Y GOCE"/>
    <x v="2"/>
    <m/>
    <s v="Assetplan - Asociado Dpto 108H"/>
    <n v="250"/>
    <n v="250"/>
    <n v="281.25"/>
  </r>
  <r>
    <x v="9"/>
    <x v="2"/>
    <x v="7"/>
    <x v="582"/>
    <x v="6"/>
    <x v="5"/>
    <n v="12.5"/>
    <n v="0"/>
    <x v="9"/>
    <s v="USO Y GOCE"/>
    <x v="0"/>
    <m/>
    <m/>
    <n v="250"/>
    <n v="250"/>
    <n v="281.25"/>
  </r>
  <r>
    <x v="9"/>
    <x v="2"/>
    <x v="7"/>
    <x v="583"/>
    <x v="6"/>
    <x v="5"/>
    <n v="12.5"/>
    <n v="0"/>
    <x v="9"/>
    <s v="USO Y GOCE"/>
    <x v="0"/>
    <m/>
    <m/>
    <n v="290"/>
    <n v="290"/>
    <n v="326.25"/>
  </r>
  <r>
    <x v="9"/>
    <x v="2"/>
    <x v="7"/>
    <x v="419"/>
    <x v="6"/>
    <x v="5"/>
    <n v="12.5"/>
    <n v="0"/>
    <x v="9"/>
    <s v="USO Y GOCE"/>
    <x v="0"/>
    <m/>
    <m/>
    <n v="320"/>
    <n v="320"/>
    <n v="360"/>
  </r>
  <r>
    <x v="9"/>
    <x v="2"/>
    <x v="7"/>
    <x v="595"/>
    <x v="6"/>
    <x v="5"/>
    <n v="12.5"/>
    <n v="0"/>
    <x v="9"/>
    <s v="USO Y GOCE"/>
    <x v="0"/>
    <m/>
    <m/>
    <n v="250"/>
    <n v="250"/>
    <n v="281.25"/>
  </r>
  <r>
    <x v="9"/>
    <x v="2"/>
    <x v="7"/>
    <x v="596"/>
    <x v="6"/>
    <x v="5"/>
    <n v="12.5"/>
    <n v="0"/>
    <x v="9"/>
    <s v="USO Y GOCE"/>
    <x v="0"/>
    <m/>
    <m/>
    <n v="250"/>
    <n v="250"/>
    <n v="281.25"/>
  </r>
  <r>
    <x v="9"/>
    <x v="2"/>
    <x v="7"/>
    <x v="369"/>
    <x v="6"/>
    <x v="5"/>
    <n v="12.5"/>
    <n v="0"/>
    <x v="9"/>
    <s v="USO Y GOCE"/>
    <x v="0"/>
    <m/>
    <m/>
    <n v="250"/>
    <n v="250"/>
    <n v="281.25"/>
  </r>
  <r>
    <x v="9"/>
    <x v="2"/>
    <x v="7"/>
    <x v="406"/>
    <x v="6"/>
    <x v="5"/>
    <n v="12.5"/>
    <n v="0"/>
    <x v="9"/>
    <s v="USO Y GOCE"/>
    <x v="0"/>
    <m/>
    <m/>
    <n v="250"/>
    <n v="250"/>
    <n v="281.25"/>
  </r>
  <r>
    <x v="9"/>
    <x v="2"/>
    <x v="7"/>
    <x v="597"/>
    <x v="6"/>
    <x v="1"/>
    <n v="12.5"/>
    <n v="0"/>
    <x v="9"/>
    <s v="USO Y GOCE"/>
    <x v="1"/>
    <m/>
    <m/>
    <n v="320"/>
    <n v="320"/>
    <n v="360"/>
  </r>
  <r>
    <x v="9"/>
    <x v="2"/>
    <x v="7"/>
    <x v="441"/>
    <x v="6"/>
    <x v="1"/>
    <n v="12.5"/>
    <n v="0"/>
    <x v="9"/>
    <s v="USO Y GOCE"/>
    <x v="0"/>
    <m/>
    <m/>
    <n v="290"/>
    <n v="290"/>
    <n v="326.25"/>
  </r>
  <r>
    <x v="9"/>
    <x v="2"/>
    <x v="7"/>
    <x v="451"/>
    <x v="6"/>
    <x v="1"/>
    <n v="12.5"/>
    <n v="0"/>
    <x v="9"/>
    <s v="USO Y GOCE"/>
    <x v="0"/>
    <m/>
    <m/>
    <n v="250"/>
    <n v="250"/>
    <n v="281.25"/>
  </r>
  <r>
    <x v="9"/>
    <x v="2"/>
    <x v="7"/>
    <x v="457"/>
    <x v="6"/>
    <x v="1"/>
    <n v="12.5"/>
    <n v="0"/>
    <x v="9"/>
    <s v="USO Y GOCE"/>
    <x v="0"/>
    <m/>
    <m/>
    <n v="250"/>
    <n v="250"/>
    <n v="281.25"/>
  </r>
  <r>
    <x v="10"/>
    <x v="0"/>
    <x v="0"/>
    <x v="374"/>
    <x v="4"/>
    <x v="0"/>
    <n v="31.56"/>
    <n v="2.86"/>
    <x v="7"/>
    <s v="DOMINIO"/>
    <x v="0"/>
    <m/>
    <m/>
    <n v="2503"/>
    <n v="2252.7000000000003"/>
    <n v="2534.2875000000004"/>
  </r>
  <r>
    <x v="10"/>
    <x v="0"/>
    <x v="0"/>
    <x v="304"/>
    <x v="4"/>
    <x v="0"/>
    <n v="31.03"/>
    <n v="2.86"/>
    <x v="7"/>
    <s v="DOMINIO"/>
    <x v="0"/>
    <m/>
    <m/>
    <n v="2606"/>
    <n v="2345.4"/>
    <n v="2638.5749999999998"/>
  </r>
  <r>
    <x v="10"/>
    <x v="0"/>
    <x v="0"/>
    <x v="238"/>
    <x v="4"/>
    <x v="0"/>
    <n v="31.04"/>
    <n v="2.86"/>
    <x v="7"/>
    <s v="DOMINIO"/>
    <x v="0"/>
    <m/>
    <m/>
    <n v="2606"/>
    <n v="2345.4"/>
    <n v="2638.5749999999998"/>
  </r>
  <r>
    <x v="10"/>
    <x v="0"/>
    <x v="0"/>
    <x v="310"/>
    <x v="4"/>
    <x v="0"/>
    <n v="31.04"/>
    <n v="2.86"/>
    <x v="8"/>
    <s v="DOMINIO"/>
    <x v="0"/>
    <m/>
    <m/>
    <n v="2630"/>
    <n v="2367"/>
    <n v="2662.875"/>
  </r>
  <r>
    <x v="10"/>
    <x v="0"/>
    <x v="0"/>
    <x v="359"/>
    <x v="4"/>
    <x v="0"/>
    <n v="31.03"/>
    <n v="2.86"/>
    <x v="8"/>
    <s v="DOMINIO"/>
    <x v="0"/>
    <m/>
    <m/>
    <n v="2630"/>
    <n v="2367"/>
    <n v="2662.875"/>
  </r>
  <r>
    <x v="10"/>
    <x v="0"/>
    <x v="0"/>
    <x v="251"/>
    <x v="4"/>
    <x v="0"/>
    <n v="31.56"/>
    <n v="2.86"/>
    <x v="8"/>
    <s v="DOMINIO"/>
    <x v="0"/>
    <m/>
    <m/>
    <n v="2630"/>
    <n v="2367"/>
    <n v="2662.875"/>
  </r>
  <r>
    <x v="10"/>
    <x v="0"/>
    <x v="0"/>
    <x v="376"/>
    <x v="7"/>
    <x v="0"/>
    <n v="31.56"/>
    <n v="2.86"/>
    <x v="7"/>
    <s v="DOMINIO"/>
    <x v="0"/>
    <m/>
    <m/>
    <n v="2618"/>
    <n v="2356.2000000000003"/>
    <n v="2650.7250000000004"/>
  </r>
  <r>
    <x v="10"/>
    <x v="0"/>
    <x v="0"/>
    <x v="311"/>
    <x v="7"/>
    <x v="0"/>
    <n v="31.03"/>
    <n v="2.86"/>
    <x v="7"/>
    <s v="DOMINIO"/>
    <x v="0"/>
    <m/>
    <m/>
    <n v="2618"/>
    <n v="2356.2000000000003"/>
    <n v="2650.7250000000004"/>
  </r>
  <r>
    <x v="10"/>
    <x v="0"/>
    <x v="0"/>
    <x v="312"/>
    <x v="7"/>
    <x v="0"/>
    <n v="31.04"/>
    <n v="2.86"/>
    <x v="7"/>
    <s v="DOMINIO"/>
    <x v="0"/>
    <m/>
    <m/>
    <n v="2618"/>
    <n v="2356.2000000000003"/>
    <n v="2650.7250000000004"/>
  </r>
  <r>
    <x v="10"/>
    <x v="0"/>
    <x v="0"/>
    <x v="317"/>
    <x v="7"/>
    <x v="0"/>
    <n v="31.04"/>
    <n v="2.86"/>
    <x v="8"/>
    <s v="DOMINIO"/>
    <x v="0"/>
    <m/>
    <m/>
    <n v="2642"/>
    <n v="2377.8000000000002"/>
    <n v="2675.0249999999996"/>
  </r>
  <r>
    <x v="10"/>
    <x v="0"/>
    <x v="0"/>
    <x v="252"/>
    <x v="7"/>
    <x v="0"/>
    <n v="31.03"/>
    <n v="2.86"/>
    <x v="8"/>
    <s v="DOMINIO"/>
    <x v="0"/>
    <m/>
    <m/>
    <n v="2642"/>
    <n v="2377.8000000000002"/>
    <n v="2675.0249999999996"/>
  </r>
  <r>
    <x v="10"/>
    <x v="0"/>
    <x v="0"/>
    <x v="318"/>
    <x v="7"/>
    <x v="0"/>
    <n v="31.56"/>
    <n v="2.86"/>
    <x v="8"/>
    <s v="DOMINIO"/>
    <x v="0"/>
    <m/>
    <m/>
    <n v="2642"/>
    <n v="2377.8000000000002"/>
    <n v="2675.0249999999996"/>
  </r>
  <r>
    <x v="10"/>
    <x v="0"/>
    <x v="0"/>
    <x v="74"/>
    <x v="8"/>
    <x v="0"/>
    <n v="31.56"/>
    <n v="2.86"/>
    <x v="7"/>
    <s v="DOMINIO"/>
    <x v="0"/>
    <m/>
    <m/>
    <n v="2630"/>
    <n v="2367"/>
    <n v="2662.875"/>
  </r>
  <r>
    <x v="10"/>
    <x v="0"/>
    <x v="0"/>
    <x v="319"/>
    <x v="8"/>
    <x v="0"/>
    <n v="31.03"/>
    <n v="2.86"/>
    <x v="7"/>
    <s v="DOMINIO"/>
    <x v="0"/>
    <m/>
    <m/>
    <n v="2630"/>
    <n v="2367"/>
    <n v="2662.875"/>
  </r>
  <r>
    <x v="10"/>
    <x v="0"/>
    <x v="0"/>
    <x v="320"/>
    <x v="8"/>
    <x v="0"/>
    <n v="31.04"/>
    <n v="2.86"/>
    <x v="7"/>
    <s v="DOMINIO"/>
    <x v="0"/>
    <m/>
    <m/>
    <n v="2630"/>
    <n v="2367"/>
    <n v="2662.875"/>
  </r>
  <r>
    <x v="10"/>
    <x v="0"/>
    <x v="0"/>
    <x v="325"/>
    <x v="8"/>
    <x v="0"/>
    <n v="31.04"/>
    <n v="2.86"/>
    <x v="8"/>
    <s v="DOMINIO"/>
    <x v="0"/>
    <m/>
    <m/>
    <n v="2654"/>
    <n v="2388.6"/>
    <n v="2687.1749999999997"/>
  </r>
  <r>
    <x v="10"/>
    <x v="0"/>
    <x v="0"/>
    <x v="362"/>
    <x v="8"/>
    <x v="0"/>
    <n v="31.03"/>
    <n v="2.86"/>
    <x v="8"/>
    <s v="DOMINIO"/>
    <x v="0"/>
    <m/>
    <m/>
    <n v="2654"/>
    <n v="2388.6"/>
    <n v="2687.1749999999997"/>
  </r>
  <r>
    <x v="10"/>
    <x v="0"/>
    <x v="0"/>
    <x v="326"/>
    <x v="8"/>
    <x v="0"/>
    <n v="31.56"/>
    <n v="2.86"/>
    <x v="8"/>
    <s v="DOMINIO"/>
    <x v="0"/>
    <m/>
    <m/>
    <n v="2654"/>
    <n v="2388.6"/>
    <n v="2687.1749999999997"/>
  </r>
  <r>
    <x v="10"/>
    <x v="0"/>
    <x v="0"/>
    <x v="76"/>
    <x v="9"/>
    <x v="0"/>
    <n v="31.56"/>
    <n v="2.86"/>
    <x v="7"/>
    <s v="DOMINIO"/>
    <x v="0"/>
    <m/>
    <m/>
    <n v="2642"/>
    <n v="2377.8000000000002"/>
    <n v="2675.0249999999996"/>
  </r>
  <r>
    <x v="10"/>
    <x v="0"/>
    <x v="0"/>
    <x v="327"/>
    <x v="9"/>
    <x v="0"/>
    <n v="31.03"/>
    <n v="2.86"/>
    <x v="7"/>
    <s v="DOMINIO"/>
    <x v="0"/>
    <m/>
    <m/>
    <n v="2642"/>
    <n v="2377.8000000000002"/>
    <n v="2675.0249999999996"/>
  </r>
  <r>
    <x v="10"/>
    <x v="0"/>
    <x v="0"/>
    <x v="333"/>
    <x v="9"/>
    <x v="0"/>
    <n v="31.04"/>
    <n v="2.86"/>
    <x v="8"/>
    <s v="DOMINIO"/>
    <x v="0"/>
    <m/>
    <m/>
    <n v="2665"/>
    <n v="2398.5"/>
    <n v="2698.3125"/>
  </r>
  <r>
    <x v="10"/>
    <x v="0"/>
    <x v="0"/>
    <x v="363"/>
    <x v="9"/>
    <x v="0"/>
    <n v="31.03"/>
    <n v="2.86"/>
    <x v="8"/>
    <s v="DOMINIO"/>
    <x v="0"/>
    <m/>
    <m/>
    <n v="2665"/>
    <n v="2398.5"/>
    <n v="2698.3125"/>
  </r>
  <r>
    <x v="10"/>
    <x v="0"/>
    <x v="0"/>
    <x v="334"/>
    <x v="9"/>
    <x v="0"/>
    <n v="31.56"/>
    <n v="2.86"/>
    <x v="8"/>
    <s v="DOMINIO"/>
    <x v="0"/>
    <m/>
    <m/>
    <n v="2665"/>
    <n v="2398.5"/>
    <n v="2698.3125"/>
  </r>
  <r>
    <x v="10"/>
    <x v="0"/>
    <x v="0"/>
    <x v="78"/>
    <x v="5"/>
    <x v="0"/>
    <n v="31.56"/>
    <n v="2.86"/>
    <x v="7"/>
    <s v="DOMINIO"/>
    <x v="0"/>
    <m/>
    <m/>
    <n v="2654"/>
    <n v="2388.6"/>
    <n v="2687.1749999999997"/>
  </r>
  <r>
    <x v="10"/>
    <x v="0"/>
    <x v="0"/>
    <x v="335"/>
    <x v="5"/>
    <x v="0"/>
    <n v="31.03"/>
    <n v="2.86"/>
    <x v="7"/>
    <s v="DOMINIO"/>
    <x v="0"/>
    <m/>
    <m/>
    <n v="2654"/>
    <n v="2388.6"/>
    <n v="2687.1749999999997"/>
  </r>
  <r>
    <x v="10"/>
    <x v="0"/>
    <x v="0"/>
    <x v="267"/>
    <x v="5"/>
    <x v="0"/>
    <n v="31.04"/>
    <n v="2.86"/>
    <x v="8"/>
    <s v="DOMINIO"/>
    <x v="0"/>
    <m/>
    <m/>
    <n v="2677"/>
    <n v="2409.3000000000002"/>
    <n v="2710.4625000000001"/>
  </r>
  <r>
    <x v="10"/>
    <x v="0"/>
    <x v="0"/>
    <x v="364"/>
    <x v="5"/>
    <x v="0"/>
    <n v="31.03"/>
    <n v="2.86"/>
    <x v="8"/>
    <s v="DOMINIO"/>
    <x v="0"/>
    <m/>
    <m/>
    <n v="2677"/>
    <n v="2409.3000000000002"/>
    <n v="2710.4625000000001"/>
  </r>
  <r>
    <x v="10"/>
    <x v="0"/>
    <x v="0"/>
    <x v="340"/>
    <x v="5"/>
    <x v="0"/>
    <n v="31.56"/>
    <n v="2.86"/>
    <x v="8"/>
    <s v="DOMINIO"/>
    <x v="0"/>
    <m/>
    <m/>
    <n v="2677"/>
    <n v="2409.3000000000002"/>
    <n v="2710.4625000000001"/>
  </r>
  <r>
    <x v="10"/>
    <x v="0"/>
    <x v="0"/>
    <x v="80"/>
    <x v="10"/>
    <x v="0"/>
    <n v="31.56"/>
    <n v="2.86"/>
    <x v="7"/>
    <s v="DOMINIO"/>
    <x v="0"/>
    <m/>
    <m/>
    <n v="2665"/>
    <n v="2398.5"/>
    <n v="2698.3125"/>
  </r>
  <r>
    <x v="10"/>
    <x v="0"/>
    <x v="0"/>
    <x v="240"/>
    <x v="10"/>
    <x v="0"/>
    <n v="31.03"/>
    <n v="2.86"/>
    <x v="7"/>
    <s v="DOMINIO"/>
    <x v="0"/>
    <m/>
    <m/>
    <n v="2665"/>
    <n v="2398.5"/>
    <n v="2698.3125"/>
  </r>
  <r>
    <x v="10"/>
    <x v="0"/>
    <x v="0"/>
    <x v="241"/>
    <x v="10"/>
    <x v="0"/>
    <n v="31.04"/>
    <n v="2.86"/>
    <x v="7"/>
    <s v="DOMINIO"/>
    <x v="0"/>
    <m/>
    <m/>
    <n v="2665"/>
    <n v="2398.5"/>
    <n v="2698.3125"/>
  </r>
  <r>
    <x v="10"/>
    <x v="0"/>
    <x v="0"/>
    <x v="25"/>
    <x v="10"/>
    <x v="0"/>
    <n v="31.04"/>
    <n v="2.86"/>
    <x v="8"/>
    <s v="DOMINIO"/>
    <x v="0"/>
    <m/>
    <m/>
    <n v="2689"/>
    <n v="2420.1"/>
    <n v="2722.6125000000002"/>
  </r>
  <r>
    <x v="10"/>
    <x v="0"/>
    <x v="0"/>
    <x v="366"/>
    <x v="10"/>
    <x v="0"/>
    <n v="31.03"/>
    <n v="2.86"/>
    <x v="8"/>
    <s v="DOMINIO"/>
    <x v="0"/>
    <m/>
    <m/>
    <n v="2689"/>
    <n v="2420.1"/>
    <n v="2722.6125000000002"/>
  </r>
  <r>
    <x v="10"/>
    <x v="0"/>
    <x v="0"/>
    <x v="345"/>
    <x v="11"/>
    <x v="0"/>
    <n v="31.56"/>
    <n v="2.86"/>
    <x v="7"/>
    <s v="DOMINIO"/>
    <x v="0"/>
    <m/>
    <m/>
    <n v="2677"/>
    <n v="2409.3000000000002"/>
    <n v="2710.4625000000001"/>
  </r>
  <r>
    <x v="10"/>
    <x v="0"/>
    <x v="0"/>
    <x v="346"/>
    <x v="11"/>
    <x v="0"/>
    <n v="31.04"/>
    <n v="2.86"/>
    <x v="7"/>
    <s v="DOMINIO"/>
    <x v="0"/>
    <m/>
    <m/>
    <n v="2677"/>
    <n v="2409.3000000000002"/>
    <n v="2710.4625000000001"/>
  </r>
  <r>
    <x v="10"/>
    <x v="0"/>
    <x v="0"/>
    <x v="30"/>
    <x v="11"/>
    <x v="0"/>
    <n v="31.04"/>
    <n v="2.86"/>
    <x v="8"/>
    <s v="DOMINIO"/>
    <x v="0"/>
    <m/>
    <m/>
    <n v="2701"/>
    <n v="2430.9"/>
    <n v="2734.7624999999998"/>
  </r>
  <r>
    <x v="10"/>
    <x v="0"/>
    <x v="0"/>
    <x v="368"/>
    <x v="11"/>
    <x v="0"/>
    <n v="31.03"/>
    <n v="2.86"/>
    <x v="8"/>
    <s v="DOMINIO"/>
    <x v="0"/>
    <m/>
    <m/>
    <n v="2701"/>
    <n v="2430.9"/>
    <n v="2734.7624999999998"/>
  </r>
  <r>
    <x v="10"/>
    <x v="0"/>
    <x v="0"/>
    <x v="34"/>
    <x v="12"/>
    <x v="0"/>
    <n v="31.04"/>
    <n v="2.86"/>
    <x v="8"/>
    <s v="DOMINIO"/>
    <x v="0"/>
    <m/>
    <m/>
    <n v="2706"/>
    <n v="2435.4"/>
    <n v="2739.8249999999998"/>
  </r>
  <r>
    <x v="10"/>
    <x v="0"/>
    <x v="3"/>
    <x v="388"/>
    <x v="3"/>
    <x v="0"/>
    <n v="36.86"/>
    <n v="2.2400000000000002"/>
    <x v="5"/>
    <s v="DOMINIO"/>
    <x v="0"/>
    <m/>
    <m/>
    <n v="2805"/>
    <n v="2524.5"/>
    <n v="2840.0625"/>
  </r>
  <r>
    <x v="10"/>
    <x v="0"/>
    <x v="3"/>
    <x v="291"/>
    <x v="3"/>
    <x v="0"/>
    <n v="36.86"/>
    <n v="2.2400000000000002"/>
    <x v="5"/>
    <s v="DOMINIO"/>
    <x v="0"/>
    <m/>
    <m/>
    <n v="2805"/>
    <n v="2524.5"/>
    <n v="2840.0625"/>
  </r>
  <r>
    <x v="10"/>
    <x v="0"/>
    <x v="3"/>
    <x v="370"/>
    <x v="3"/>
    <x v="0"/>
    <n v="36.86"/>
    <n v="2.2400000000000002"/>
    <x v="5"/>
    <s v="DOMINIO"/>
    <x v="0"/>
    <m/>
    <m/>
    <n v="2805"/>
    <n v="2524.5"/>
    <n v="2840.0625"/>
  </r>
  <r>
    <x v="10"/>
    <x v="0"/>
    <x v="3"/>
    <x v="293"/>
    <x v="3"/>
    <x v="0"/>
    <n v="36.86"/>
    <n v="2.2400000000000002"/>
    <x v="5"/>
    <s v="DOMINIO"/>
    <x v="0"/>
    <m/>
    <m/>
    <n v="2805"/>
    <n v="2524.5"/>
    <n v="2840.0625"/>
  </r>
  <r>
    <x v="10"/>
    <x v="0"/>
    <x v="3"/>
    <x v="295"/>
    <x v="3"/>
    <x v="0"/>
    <n v="36.86"/>
    <n v="2.2400000000000002"/>
    <x v="5"/>
    <s v="DOMINIO"/>
    <x v="0"/>
    <m/>
    <m/>
    <n v="2805"/>
    <n v="2524.5"/>
    <n v="2840.0625"/>
  </r>
  <r>
    <x v="10"/>
    <x v="0"/>
    <x v="3"/>
    <x v="246"/>
    <x v="3"/>
    <x v="0"/>
    <n v="36.86"/>
    <n v="2.2400000000000002"/>
    <x v="6"/>
    <s v="DOMINIO"/>
    <x v="0"/>
    <m/>
    <m/>
    <n v="2723"/>
    <n v="2450.7000000000003"/>
    <n v="2757.0374999999999"/>
  </r>
  <r>
    <x v="10"/>
    <x v="0"/>
    <x v="3"/>
    <x v="237"/>
    <x v="0"/>
    <x v="0"/>
    <n v="36.86"/>
    <n v="2.2400000000000002"/>
    <x v="5"/>
    <s v="DOMINIO"/>
    <x v="0"/>
    <m/>
    <m/>
    <n v="2817"/>
    <n v="2535.3000000000002"/>
    <n v="2852.2124999999996"/>
  </r>
  <r>
    <x v="10"/>
    <x v="0"/>
    <x v="3"/>
    <x v="299"/>
    <x v="0"/>
    <x v="0"/>
    <n v="36.86"/>
    <n v="2.2400000000000002"/>
    <x v="5"/>
    <s v="DOMINIO"/>
    <x v="0"/>
    <m/>
    <m/>
    <n v="2817"/>
    <n v="2535.3000000000002"/>
    <n v="2852.2124999999996"/>
  </r>
  <r>
    <x v="10"/>
    <x v="0"/>
    <x v="3"/>
    <x v="402"/>
    <x v="0"/>
    <x v="0"/>
    <n v="36.86"/>
    <n v="2.2400000000000002"/>
    <x v="5"/>
    <s v="DOMINIO"/>
    <x v="0"/>
    <m/>
    <m/>
    <n v="2817"/>
    <n v="2535.3000000000002"/>
    <n v="2852.2124999999996"/>
  </r>
  <r>
    <x v="10"/>
    <x v="0"/>
    <x v="3"/>
    <x v="474"/>
    <x v="0"/>
    <x v="0"/>
    <n v="36.86"/>
    <n v="2.2400000000000002"/>
    <x v="6"/>
    <s v="DOMINIO"/>
    <x v="0"/>
    <m/>
    <m/>
    <n v="2735"/>
    <n v="2461.5"/>
    <n v="2769.1874999999995"/>
  </r>
  <r>
    <x v="10"/>
    <x v="0"/>
    <x v="3"/>
    <x v="479"/>
    <x v="0"/>
    <x v="0"/>
    <n v="36.86"/>
    <n v="2.2400000000000002"/>
    <x v="6"/>
    <s v="DOMINIO"/>
    <x v="0"/>
    <m/>
    <m/>
    <n v="2735"/>
    <n v="2461.5"/>
    <n v="2769.1874999999995"/>
  </r>
  <r>
    <x v="10"/>
    <x v="0"/>
    <x v="3"/>
    <x v="515"/>
    <x v="4"/>
    <x v="0"/>
    <n v="36.86"/>
    <n v="2.2400000000000002"/>
    <x v="5"/>
    <s v="DOMINIO"/>
    <x v="0"/>
    <m/>
    <m/>
    <n v="2829"/>
    <n v="2546.1"/>
    <n v="2864.3624999999997"/>
  </r>
  <r>
    <x v="10"/>
    <x v="0"/>
    <x v="3"/>
    <x v="305"/>
    <x v="4"/>
    <x v="0"/>
    <n v="36.86"/>
    <n v="2.2400000000000002"/>
    <x v="5"/>
    <s v="DOMINIO"/>
    <x v="0"/>
    <m/>
    <m/>
    <n v="2829"/>
    <n v="2546.1"/>
    <n v="2864.3624999999997"/>
  </r>
  <r>
    <x v="10"/>
    <x v="0"/>
    <x v="3"/>
    <x v="375"/>
    <x v="4"/>
    <x v="0"/>
    <n v="36.86"/>
    <n v="2.2400000000000002"/>
    <x v="5"/>
    <s v="DOMINIO"/>
    <x v="0"/>
    <m/>
    <m/>
    <n v="2829"/>
    <n v="2546.1"/>
    <n v="2864.3624999999997"/>
  </r>
  <r>
    <x v="10"/>
    <x v="0"/>
    <x v="3"/>
    <x v="309"/>
    <x v="4"/>
    <x v="0"/>
    <n v="36.86"/>
    <n v="2.2400000000000002"/>
    <x v="5"/>
    <s v="DOMINIO"/>
    <x v="0"/>
    <m/>
    <m/>
    <n v="2829"/>
    <n v="2546.1"/>
    <n v="2864.3624999999997"/>
  </r>
  <r>
    <x v="10"/>
    <x v="0"/>
    <x v="3"/>
    <x v="517"/>
    <x v="4"/>
    <x v="0"/>
    <n v="36.86"/>
    <n v="2.2400000000000002"/>
    <x v="6"/>
    <s v="DOMINIO"/>
    <x v="0"/>
    <m/>
    <m/>
    <n v="2746"/>
    <n v="2471.4"/>
    <n v="2780.3250000000003"/>
  </r>
  <r>
    <x v="10"/>
    <x v="0"/>
    <x v="3"/>
    <x v="525"/>
    <x v="4"/>
    <x v="0"/>
    <n v="36.86"/>
    <n v="2.2400000000000002"/>
    <x v="6"/>
    <s v="DOMINIO"/>
    <x v="0"/>
    <m/>
    <m/>
    <n v="2746"/>
    <n v="2471.4"/>
    <n v="2780.3250000000003"/>
  </r>
  <r>
    <x v="10"/>
    <x v="0"/>
    <x v="3"/>
    <x v="377"/>
    <x v="7"/>
    <x v="0"/>
    <n v="37.39"/>
    <n v="2.2400000000000002"/>
    <x v="5"/>
    <s v="DOMINIO"/>
    <x v="0"/>
    <m/>
    <m/>
    <n v="2841"/>
    <n v="2556.9"/>
    <n v="2876.5124999999998"/>
  </r>
  <r>
    <x v="10"/>
    <x v="0"/>
    <x v="3"/>
    <x v="531"/>
    <x v="7"/>
    <x v="0"/>
    <n v="36.86"/>
    <n v="2.2400000000000002"/>
    <x v="5"/>
    <s v="DOMINIO"/>
    <x v="0"/>
    <m/>
    <m/>
    <n v="2841"/>
    <n v="2556.9"/>
    <n v="2876.5124999999998"/>
  </r>
  <r>
    <x v="10"/>
    <x v="0"/>
    <x v="3"/>
    <x v="532"/>
    <x v="7"/>
    <x v="0"/>
    <n v="36.86"/>
    <n v="2.2400000000000002"/>
    <x v="5"/>
    <s v="DOMINIO"/>
    <x v="0"/>
    <m/>
    <m/>
    <n v="2841"/>
    <n v="2556.9"/>
    <n v="2876.5124999999998"/>
  </r>
  <r>
    <x v="10"/>
    <x v="0"/>
    <x v="3"/>
    <x v="315"/>
    <x v="7"/>
    <x v="0"/>
    <n v="36.86"/>
    <n v="2.2400000000000002"/>
    <x v="5"/>
    <s v="DOMINIO"/>
    <x v="0"/>
    <m/>
    <m/>
    <n v="2841"/>
    <n v="2556.9"/>
    <n v="2876.5124999999998"/>
  </r>
  <r>
    <x v="10"/>
    <x v="0"/>
    <x v="3"/>
    <x v="316"/>
    <x v="7"/>
    <x v="0"/>
    <n v="36.86"/>
    <n v="2.2400000000000002"/>
    <x v="5"/>
    <s v="DOMINIO"/>
    <x v="0"/>
    <m/>
    <m/>
    <n v="2841"/>
    <n v="2556.9"/>
    <n v="2876.5124999999998"/>
  </r>
  <r>
    <x v="10"/>
    <x v="0"/>
    <x v="3"/>
    <x v="389"/>
    <x v="7"/>
    <x v="0"/>
    <n v="37.39"/>
    <n v="2.2400000000000002"/>
    <x v="5"/>
    <s v="DOMINIO"/>
    <x v="0"/>
    <m/>
    <m/>
    <n v="2841"/>
    <n v="2556.9"/>
    <n v="2876.5124999999998"/>
  </r>
  <r>
    <x v="10"/>
    <x v="0"/>
    <x v="3"/>
    <x v="407"/>
    <x v="7"/>
    <x v="0"/>
    <n v="36.86"/>
    <n v="2.2400000000000002"/>
    <x v="6"/>
    <s v="DOMINIO"/>
    <x v="0"/>
    <m/>
    <m/>
    <n v="2758"/>
    <n v="2482.2000000000003"/>
    <n v="2792.4750000000004"/>
  </r>
  <r>
    <x v="10"/>
    <x v="0"/>
    <x v="3"/>
    <x v="598"/>
    <x v="7"/>
    <x v="0"/>
    <n v="36.86"/>
    <n v="2.2400000000000002"/>
    <x v="6"/>
    <s v="DOMINIO"/>
    <x v="0"/>
    <m/>
    <m/>
    <n v="2758"/>
    <n v="2482.2000000000003"/>
    <n v="2792.4750000000004"/>
  </r>
  <r>
    <x v="10"/>
    <x v="0"/>
    <x v="3"/>
    <x v="599"/>
    <x v="7"/>
    <x v="0"/>
    <n v="36.86"/>
    <n v="2.2400000000000002"/>
    <x v="6"/>
    <s v="DOMINIO"/>
    <x v="0"/>
    <m/>
    <m/>
    <n v="2758"/>
    <n v="2482.2000000000003"/>
    <n v="2792.4750000000004"/>
  </r>
  <r>
    <x v="10"/>
    <x v="0"/>
    <x v="3"/>
    <x v="379"/>
    <x v="8"/>
    <x v="0"/>
    <n v="37.39"/>
    <n v="2.2400000000000002"/>
    <x v="5"/>
    <s v="DOMINIO"/>
    <x v="0"/>
    <m/>
    <m/>
    <n v="2852"/>
    <n v="2566.8000000000002"/>
    <n v="2887.65"/>
  </r>
  <r>
    <x v="10"/>
    <x v="0"/>
    <x v="3"/>
    <x v="533"/>
    <x v="8"/>
    <x v="0"/>
    <n v="36.86"/>
    <n v="2.2400000000000002"/>
    <x v="5"/>
    <s v="DOMINIO"/>
    <x v="0"/>
    <m/>
    <m/>
    <n v="2852"/>
    <n v="2566.8000000000002"/>
    <n v="2887.65"/>
  </r>
  <r>
    <x v="10"/>
    <x v="0"/>
    <x v="3"/>
    <x v="321"/>
    <x v="8"/>
    <x v="0"/>
    <n v="36.86"/>
    <n v="2.2400000000000002"/>
    <x v="5"/>
    <s v="DOMINIO"/>
    <x v="0"/>
    <m/>
    <m/>
    <n v="2852"/>
    <n v="2566.8000000000002"/>
    <n v="2887.65"/>
  </r>
  <r>
    <x v="10"/>
    <x v="0"/>
    <x v="3"/>
    <x v="380"/>
    <x v="8"/>
    <x v="0"/>
    <n v="36.86"/>
    <n v="2.2400000000000002"/>
    <x v="5"/>
    <s v="DOMINIO"/>
    <x v="0"/>
    <m/>
    <m/>
    <n v="2852"/>
    <n v="2566.8000000000002"/>
    <n v="2887.65"/>
  </r>
  <r>
    <x v="10"/>
    <x v="0"/>
    <x v="3"/>
    <x v="323"/>
    <x v="8"/>
    <x v="0"/>
    <n v="36.86"/>
    <n v="2.2400000000000002"/>
    <x v="5"/>
    <s v="DOMINIO"/>
    <x v="0"/>
    <m/>
    <m/>
    <n v="2852"/>
    <n v="2566.8000000000002"/>
    <n v="2887.65"/>
  </r>
  <r>
    <x v="10"/>
    <x v="0"/>
    <x v="3"/>
    <x v="324"/>
    <x v="8"/>
    <x v="0"/>
    <n v="36.86"/>
    <n v="2.2400000000000002"/>
    <x v="5"/>
    <s v="DOMINIO"/>
    <x v="0"/>
    <m/>
    <m/>
    <n v="2852"/>
    <n v="2566.8000000000002"/>
    <n v="2887.65"/>
  </r>
  <r>
    <x v="10"/>
    <x v="0"/>
    <x v="3"/>
    <x v="390"/>
    <x v="8"/>
    <x v="0"/>
    <n v="37.39"/>
    <n v="2.2400000000000002"/>
    <x v="5"/>
    <s v="DOMINIO"/>
    <x v="0"/>
    <m/>
    <m/>
    <n v="2852"/>
    <n v="2566.8000000000002"/>
    <n v="2887.65"/>
  </r>
  <r>
    <x v="10"/>
    <x v="0"/>
    <x v="3"/>
    <x v="556"/>
    <x v="8"/>
    <x v="0"/>
    <n v="36.86"/>
    <n v="2.2400000000000002"/>
    <x v="6"/>
    <s v="DOMINIO"/>
    <x v="0"/>
    <m/>
    <m/>
    <n v="2770"/>
    <n v="2493"/>
    <n v="2804.6249999999995"/>
  </r>
  <r>
    <x v="10"/>
    <x v="0"/>
    <x v="3"/>
    <x v="257"/>
    <x v="8"/>
    <x v="0"/>
    <n v="36.86"/>
    <n v="2.2400000000000002"/>
    <x v="6"/>
    <s v="DOMINIO"/>
    <x v="0"/>
    <m/>
    <m/>
    <n v="2770"/>
    <n v="2493"/>
    <n v="2804.6249999999995"/>
  </r>
  <r>
    <x v="10"/>
    <x v="0"/>
    <x v="3"/>
    <x v="600"/>
    <x v="8"/>
    <x v="0"/>
    <n v="36.619999999999997"/>
    <n v="2.2400000000000002"/>
    <x v="6"/>
    <s v="DOMINIO"/>
    <x v="0"/>
    <m/>
    <m/>
    <n v="2770"/>
    <n v="2493"/>
    <n v="2804.6249999999995"/>
  </r>
  <r>
    <x v="10"/>
    <x v="0"/>
    <x v="3"/>
    <x v="601"/>
    <x v="8"/>
    <x v="0"/>
    <n v="36.86"/>
    <n v="2.2400000000000002"/>
    <x v="6"/>
    <s v="DOMINIO"/>
    <x v="0"/>
    <m/>
    <m/>
    <n v="2770"/>
    <n v="2493"/>
    <n v="2804.6249999999995"/>
  </r>
  <r>
    <x v="10"/>
    <x v="0"/>
    <x v="3"/>
    <x v="602"/>
    <x v="8"/>
    <x v="0"/>
    <n v="36.86"/>
    <n v="2.2400000000000002"/>
    <x v="6"/>
    <s v="DOMINIO"/>
    <x v="0"/>
    <m/>
    <m/>
    <n v="2770"/>
    <n v="2493"/>
    <n v="2804.6249999999995"/>
  </r>
  <r>
    <x v="10"/>
    <x v="0"/>
    <x v="3"/>
    <x v="391"/>
    <x v="9"/>
    <x v="0"/>
    <n v="36.86"/>
    <n v="2.2400000000000002"/>
    <x v="5"/>
    <s v="DOMINIO"/>
    <x v="0"/>
    <m/>
    <m/>
    <n v="2864"/>
    <n v="2577.6"/>
    <n v="2899.8"/>
  </r>
  <r>
    <x v="10"/>
    <x v="0"/>
    <x v="3"/>
    <x v="329"/>
    <x v="9"/>
    <x v="0"/>
    <n v="36.86"/>
    <n v="2.2400000000000002"/>
    <x v="5"/>
    <s v="DOMINIO"/>
    <x v="0"/>
    <m/>
    <m/>
    <n v="2864"/>
    <n v="2577.6"/>
    <n v="2899.8"/>
  </r>
  <r>
    <x v="10"/>
    <x v="0"/>
    <x v="3"/>
    <x v="239"/>
    <x v="9"/>
    <x v="0"/>
    <n v="36.86"/>
    <n v="2.2400000000000002"/>
    <x v="5"/>
    <s v="DOMINIO"/>
    <x v="0"/>
    <m/>
    <m/>
    <n v="2864"/>
    <n v="2577.6"/>
    <n v="2899.8"/>
  </r>
  <r>
    <x v="10"/>
    <x v="0"/>
    <x v="3"/>
    <x v="331"/>
    <x v="9"/>
    <x v="0"/>
    <n v="36.86"/>
    <n v="2.2400000000000002"/>
    <x v="5"/>
    <s v="DOMINIO"/>
    <x v="0"/>
    <m/>
    <m/>
    <n v="2864"/>
    <n v="2577.6"/>
    <n v="2899.8"/>
  </r>
  <r>
    <x v="10"/>
    <x v="0"/>
    <x v="3"/>
    <x v="332"/>
    <x v="9"/>
    <x v="0"/>
    <n v="36.86"/>
    <n v="2.2400000000000002"/>
    <x v="5"/>
    <s v="DOMINIO"/>
    <x v="0"/>
    <m/>
    <m/>
    <n v="2864"/>
    <n v="2577.6"/>
    <n v="2899.8"/>
  </r>
  <r>
    <x v="10"/>
    <x v="0"/>
    <x v="3"/>
    <x v="392"/>
    <x v="9"/>
    <x v="0"/>
    <n v="37.39"/>
    <n v="2.2400000000000002"/>
    <x v="5"/>
    <s v="DOMINIO"/>
    <x v="0"/>
    <m/>
    <m/>
    <n v="2864"/>
    <n v="2577.6"/>
    <n v="2899.8"/>
  </r>
  <r>
    <x v="10"/>
    <x v="0"/>
    <x v="3"/>
    <x v="410"/>
    <x v="9"/>
    <x v="0"/>
    <n v="36.86"/>
    <n v="2.2400000000000002"/>
    <x v="6"/>
    <s v="DOMINIO"/>
    <x v="0"/>
    <m/>
    <m/>
    <n v="2782"/>
    <n v="2503.8000000000002"/>
    <n v="2816.7750000000001"/>
  </r>
  <r>
    <x v="10"/>
    <x v="0"/>
    <x v="3"/>
    <x v="263"/>
    <x v="9"/>
    <x v="0"/>
    <n v="36.86"/>
    <n v="2.2400000000000002"/>
    <x v="6"/>
    <s v="DOMINIO"/>
    <x v="0"/>
    <m/>
    <m/>
    <n v="2782"/>
    <n v="2503.8000000000002"/>
    <n v="2816.7750000000001"/>
  </r>
  <r>
    <x v="10"/>
    <x v="0"/>
    <x v="3"/>
    <x v="603"/>
    <x v="9"/>
    <x v="0"/>
    <n v="36.619999999999997"/>
    <n v="2.2400000000000002"/>
    <x v="6"/>
    <s v="DOMINIO"/>
    <x v="0"/>
    <m/>
    <m/>
    <n v="2782"/>
    <n v="2503.8000000000002"/>
    <n v="2816.7750000000001"/>
  </r>
  <r>
    <x v="10"/>
    <x v="0"/>
    <x v="3"/>
    <x v="604"/>
    <x v="9"/>
    <x v="0"/>
    <n v="36.86"/>
    <n v="2.2400000000000002"/>
    <x v="6"/>
    <s v="DOMINIO"/>
    <x v="0"/>
    <m/>
    <m/>
    <n v="2782"/>
    <n v="2503.8000000000002"/>
    <n v="2816.7750000000001"/>
  </r>
  <r>
    <x v="10"/>
    <x v="0"/>
    <x v="3"/>
    <x v="605"/>
    <x v="9"/>
    <x v="0"/>
    <n v="36.86"/>
    <n v="2.2400000000000002"/>
    <x v="6"/>
    <s v="DOMINIO"/>
    <x v="0"/>
    <m/>
    <m/>
    <n v="2782"/>
    <n v="2503.8000000000002"/>
    <n v="2816.7750000000001"/>
  </r>
  <r>
    <x v="10"/>
    <x v="0"/>
    <x v="3"/>
    <x v="17"/>
    <x v="5"/>
    <x v="0"/>
    <n v="37.39"/>
    <n v="2.2400000000000002"/>
    <x v="5"/>
    <s v="DOMINIO"/>
    <x v="0"/>
    <m/>
    <m/>
    <n v="2876"/>
    <n v="2588.4"/>
    <n v="2911.95"/>
  </r>
  <r>
    <x v="10"/>
    <x v="0"/>
    <x v="3"/>
    <x v="6"/>
    <x v="5"/>
    <x v="0"/>
    <n v="36.86"/>
    <n v="2.2400000000000002"/>
    <x v="5"/>
    <s v="DOMINIO"/>
    <x v="0"/>
    <m/>
    <m/>
    <n v="2876"/>
    <n v="2588.4"/>
    <n v="2911.95"/>
  </r>
  <r>
    <x v="10"/>
    <x v="0"/>
    <x v="3"/>
    <x v="18"/>
    <x v="5"/>
    <x v="0"/>
    <n v="36.86"/>
    <n v="2.2400000000000002"/>
    <x v="5"/>
    <s v="DOMINIO"/>
    <x v="0"/>
    <m/>
    <m/>
    <n v="2876"/>
    <n v="2588.4"/>
    <n v="2911.95"/>
  </r>
  <r>
    <x v="10"/>
    <x v="0"/>
    <x v="3"/>
    <x v="338"/>
    <x v="5"/>
    <x v="0"/>
    <n v="36.86"/>
    <n v="2.2400000000000002"/>
    <x v="5"/>
    <s v="DOMINIO"/>
    <x v="0"/>
    <m/>
    <m/>
    <n v="2876"/>
    <n v="2588.4"/>
    <n v="2911.95"/>
  </r>
  <r>
    <x v="10"/>
    <x v="0"/>
    <x v="3"/>
    <x v="339"/>
    <x v="5"/>
    <x v="0"/>
    <n v="36.86"/>
    <n v="2.2400000000000002"/>
    <x v="5"/>
    <s v="DOMINIO"/>
    <x v="0"/>
    <m/>
    <m/>
    <n v="2876"/>
    <n v="2588.4"/>
    <n v="2911.95"/>
  </r>
  <r>
    <x v="10"/>
    <x v="0"/>
    <x v="3"/>
    <x v="266"/>
    <x v="5"/>
    <x v="0"/>
    <n v="37.39"/>
    <n v="2.2400000000000002"/>
    <x v="5"/>
    <s v="DOMINIO"/>
    <x v="0"/>
    <m/>
    <m/>
    <n v="2876"/>
    <n v="2588.4"/>
    <n v="2911.95"/>
  </r>
  <r>
    <x v="10"/>
    <x v="0"/>
    <x v="3"/>
    <x v="557"/>
    <x v="5"/>
    <x v="0"/>
    <n v="36.86"/>
    <n v="2.2400000000000002"/>
    <x v="6"/>
    <s v="DOMINIO"/>
    <x v="0"/>
    <m/>
    <m/>
    <n v="2794"/>
    <n v="2514.6"/>
    <n v="2828.9249999999997"/>
  </r>
  <r>
    <x v="10"/>
    <x v="0"/>
    <x v="3"/>
    <x v="606"/>
    <x v="5"/>
    <x v="0"/>
    <n v="36.86"/>
    <n v="2.2400000000000002"/>
    <x v="6"/>
    <s v="DOMINIO"/>
    <x v="0"/>
    <m/>
    <m/>
    <n v="2794"/>
    <n v="2514.6"/>
    <n v="2828.9249999999997"/>
  </r>
  <r>
    <x v="10"/>
    <x v="0"/>
    <x v="3"/>
    <x v="270"/>
    <x v="5"/>
    <x v="0"/>
    <n v="36.619999999999997"/>
    <n v="2.2400000000000002"/>
    <x v="6"/>
    <s v="DOMINIO"/>
    <x v="0"/>
    <m/>
    <m/>
    <n v="2794"/>
    <n v="2514.6"/>
    <n v="2828.9249999999997"/>
  </r>
  <r>
    <x v="10"/>
    <x v="0"/>
    <x v="3"/>
    <x v="607"/>
    <x v="5"/>
    <x v="0"/>
    <n v="36.86"/>
    <n v="2.2400000000000002"/>
    <x v="6"/>
    <s v="DOMINIO"/>
    <x v="0"/>
    <m/>
    <m/>
    <n v="2794"/>
    <n v="2514.6"/>
    <n v="2828.9249999999997"/>
  </r>
  <r>
    <x v="10"/>
    <x v="0"/>
    <x v="3"/>
    <x v="608"/>
    <x v="5"/>
    <x v="0"/>
    <n v="36.86"/>
    <n v="2.2400000000000002"/>
    <x v="6"/>
    <s v="DOMINIO"/>
    <x v="0"/>
    <m/>
    <m/>
    <n v="2794"/>
    <n v="2514.6"/>
    <n v="2828.9249999999997"/>
  </r>
  <r>
    <x v="10"/>
    <x v="0"/>
    <x v="3"/>
    <x v="21"/>
    <x v="10"/>
    <x v="0"/>
    <n v="37.39"/>
    <n v="2.2400000000000002"/>
    <x v="5"/>
    <s v="DOMINIO"/>
    <x v="0"/>
    <m/>
    <m/>
    <n v="2888"/>
    <n v="2599.2000000000003"/>
    <n v="2924.1"/>
  </r>
  <r>
    <x v="10"/>
    <x v="0"/>
    <x v="3"/>
    <x v="393"/>
    <x v="10"/>
    <x v="0"/>
    <n v="36.86"/>
    <n v="2.2400000000000002"/>
    <x v="5"/>
    <s v="DOMINIO"/>
    <x v="0"/>
    <m/>
    <m/>
    <n v="2888"/>
    <n v="2599.2000000000003"/>
    <n v="2924.1"/>
  </r>
  <r>
    <x v="10"/>
    <x v="0"/>
    <x v="3"/>
    <x v="22"/>
    <x v="10"/>
    <x v="0"/>
    <n v="36.86"/>
    <n v="2.2400000000000002"/>
    <x v="5"/>
    <s v="DOMINIO"/>
    <x v="0"/>
    <m/>
    <m/>
    <n v="2888"/>
    <n v="2599.2000000000003"/>
    <n v="2924.1"/>
  </r>
  <r>
    <x v="10"/>
    <x v="0"/>
    <x v="3"/>
    <x v="384"/>
    <x v="10"/>
    <x v="0"/>
    <n v="36.86"/>
    <n v="2.2400000000000002"/>
    <x v="5"/>
    <s v="DOMINIO"/>
    <x v="0"/>
    <m/>
    <m/>
    <n v="2888"/>
    <n v="2599.2000000000003"/>
    <n v="2924.1"/>
  </r>
  <r>
    <x v="10"/>
    <x v="0"/>
    <x v="3"/>
    <x v="343"/>
    <x v="10"/>
    <x v="0"/>
    <n v="36.86"/>
    <n v="2.2400000000000002"/>
    <x v="5"/>
    <s v="DOMINIO"/>
    <x v="0"/>
    <m/>
    <m/>
    <n v="2888"/>
    <n v="2599.2000000000003"/>
    <n v="2924.1"/>
  </r>
  <r>
    <x v="10"/>
    <x v="0"/>
    <x v="3"/>
    <x v="394"/>
    <x v="10"/>
    <x v="0"/>
    <n v="37.39"/>
    <n v="2.2400000000000002"/>
    <x v="5"/>
    <s v="DOMINIO"/>
    <x v="0"/>
    <m/>
    <m/>
    <n v="2888"/>
    <n v="2599.2000000000003"/>
    <n v="2924.1"/>
  </r>
  <r>
    <x v="10"/>
    <x v="0"/>
    <x v="3"/>
    <x v="412"/>
    <x v="10"/>
    <x v="0"/>
    <n v="36.86"/>
    <n v="2.2400000000000002"/>
    <x v="6"/>
    <s v="DOMINIO"/>
    <x v="0"/>
    <m/>
    <m/>
    <n v="2805"/>
    <n v="2524.5"/>
    <n v="2840.0625"/>
  </r>
  <r>
    <x v="10"/>
    <x v="0"/>
    <x v="3"/>
    <x v="609"/>
    <x v="10"/>
    <x v="0"/>
    <n v="36.86"/>
    <n v="2.2400000000000002"/>
    <x v="6"/>
    <s v="DOMINIO"/>
    <x v="0"/>
    <m/>
    <m/>
    <n v="2805"/>
    <n v="2524.5"/>
    <n v="2840.0625"/>
  </r>
  <r>
    <x v="10"/>
    <x v="0"/>
    <x v="3"/>
    <x v="610"/>
    <x v="10"/>
    <x v="0"/>
    <n v="36.619999999999997"/>
    <n v="2.2400000000000002"/>
    <x v="6"/>
    <s v="DOMINIO"/>
    <x v="0"/>
    <m/>
    <m/>
    <n v="2805"/>
    <n v="2524.5"/>
    <n v="2840.0625"/>
  </r>
  <r>
    <x v="10"/>
    <x v="0"/>
    <x v="3"/>
    <x v="611"/>
    <x v="10"/>
    <x v="0"/>
    <n v="36.86"/>
    <n v="2.2400000000000002"/>
    <x v="6"/>
    <s v="DOMINIO"/>
    <x v="0"/>
    <m/>
    <m/>
    <n v="2805"/>
    <n v="2524.5"/>
    <n v="2840.0625"/>
  </r>
  <r>
    <x v="10"/>
    <x v="0"/>
    <x v="3"/>
    <x v="612"/>
    <x v="10"/>
    <x v="0"/>
    <n v="36.86"/>
    <n v="2.2400000000000002"/>
    <x v="6"/>
    <s v="DOMINIO"/>
    <x v="0"/>
    <m/>
    <m/>
    <n v="2805"/>
    <n v="2524.5"/>
    <n v="2840.0625"/>
  </r>
  <r>
    <x v="10"/>
    <x v="0"/>
    <x v="3"/>
    <x v="395"/>
    <x v="11"/>
    <x v="0"/>
    <n v="36.86"/>
    <n v="2.2400000000000002"/>
    <x v="5"/>
    <s v="DOMINIO"/>
    <x v="0"/>
    <m/>
    <m/>
    <n v="2899"/>
    <n v="2609.1"/>
    <n v="2935.2374999999997"/>
  </r>
  <r>
    <x v="10"/>
    <x v="0"/>
    <x v="3"/>
    <x v="27"/>
    <x v="11"/>
    <x v="0"/>
    <n v="36.86"/>
    <n v="2.2400000000000002"/>
    <x v="5"/>
    <s v="DOMINIO"/>
    <x v="0"/>
    <m/>
    <m/>
    <n v="2899"/>
    <n v="2609.1"/>
    <n v="2935.2374999999997"/>
  </r>
  <r>
    <x v="10"/>
    <x v="0"/>
    <x v="3"/>
    <x v="386"/>
    <x v="11"/>
    <x v="0"/>
    <n v="36.86"/>
    <n v="2.2400000000000002"/>
    <x v="5"/>
    <s v="DOMINIO"/>
    <x v="0"/>
    <m/>
    <m/>
    <n v="2899"/>
    <n v="2609.1"/>
    <n v="2935.2374999999997"/>
  </r>
  <r>
    <x v="10"/>
    <x v="0"/>
    <x v="3"/>
    <x v="348"/>
    <x v="11"/>
    <x v="0"/>
    <n v="36.86"/>
    <n v="2.2400000000000002"/>
    <x v="5"/>
    <s v="DOMINIO"/>
    <x v="0"/>
    <m/>
    <m/>
    <n v="2899"/>
    <n v="2609.1"/>
    <n v="2935.2374999999997"/>
  </r>
  <r>
    <x v="10"/>
    <x v="0"/>
    <x v="3"/>
    <x v="349"/>
    <x v="11"/>
    <x v="0"/>
    <n v="36.86"/>
    <n v="2.2400000000000002"/>
    <x v="5"/>
    <s v="DOMINIO"/>
    <x v="0"/>
    <m/>
    <m/>
    <n v="2899"/>
    <n v="2609.1"/>
    <n v="2935.2374999999997"/>
  </r>
  <r>
    <x v="10"/>
    <x v="0"/>
    <x v="3"/>
    <x v="396"/>
    <x v="11"/>
    <x v="0"/>
    <n v="37.39"/>
    <n v="2.2400000000000002"/>
    <x v="5"/>
    <s v="DOMINIO"/>
    <x v="0"/>
    <m/>
    <m/>
    <n v="2899"/>
    <n v="2609.1"/>
    <n v="2935.2374999999997"/>
  </r>
  <r>
    <x v="10"/>
    <x v="0"/>
    <x v="3"/>
    <x v="414"/>
    <x v="11"/>
    <x v="0"/>
    <n v="36.86"/>
    <n v="2.2400000000000002"/>
    <x v="6"/>
    <s v="DOMINIO"/>
    <x v="0"/>
    <m/>
    <m/>
    <n v="2817"/>
    <n v="2535.3000000000002"/>
    <n v="2852.2124999999996"/>
  </r>
  <r>
    <x v="10"/>
    <x v="0"/>
    <x v="3"/>
    <x v="613"/>
    <x v="11"/>
    <x v="0"/>
    <n v="36.86"/>
    <n v="2.2400000000000002"/>
    <x v="6"/>
    <s v="DOMINIO"/>
    <x v="0"/>
    <m/>
    <m/>
    <n v="2817"/>
    <n v="2535.3000000000002"/>
    <n v="2852.2124999999996"/>
  </r>
  <r>
    <x v="10"/>
    <x v="0"/>
    <x v="3"/>
    <x v="614"/>
    <x v="11"/>
    <x v="0"/>
    <n v="36.619999999999997"/>
    <n v="2.2400000000000002"/>
    <x v="6"/>
    <s v="DOMINIO"/>
    <x v="0"/>
    <m/>
    <m/>
    <n v="2817"/>
    <n v="2535.3000000000002"/>
    <n v="2852.2124999999996"/>
  </r>
  <r>
    <x v="10"/>
    <x v="0"/>
    <x v="3"/>
    <x v="615"/>
    <x v="11"/>
    <x v="0"/>
    <n v="36.86"/>
    <n v="2.2400000000000002"/>
    <x v="6"/>
    <s v="DOMINIO"/>
    <x v="0"/>
    <m/>
    <m/>
    <n v="2817"/>
    <n v="2535.3000000000002"/>
    <n v="2852.2124999999996"/>
  </r>
  <r>
    <x v="10"/>
    <x v="0"/>
    <x v="3"/>
    <x v="616"/>
    <x v="11"/>
    <x v="0"/>
    <n v="36.86"/>
    <n v="2.2400000000000002"/>
    <x v="6"/>
    <s v="DOMINIO"/>
    <x v="0"/>
    <m/>
    <m/>
    <n v="2817"/>
    <n v="2535.3000000000002"/>
    <n v="2852.2124999999996"/>
  </r>
  <r>
    <x v="10"/>
    <x v="0"/>
    <x v="3"/>
    <x v="400"/>
    <x v="12"/>
    <x v="0"/>
    <n v="37.39"/>
    <n v="2.2400000000000002"/>
    <x v="5"/>
    <s v="DOMINIO"/>
    <x v="0"/>
    <m/>
    <m/>
    <n v="2905"/>
    <n v="2614.5"/>
    <n v="2941.3125"/>
  </r>
  <r>
    <x v="10"/>
    <x v="0"/>
    <x v="3"/>
    <x v="558"/>
    <x v="12"/>
    <x v="0"/>
    <n v="36.86"/>
    <n v="2.2400000000000002"/>
    <x v="5"/>
    <s v="DOMINIO"/>
    <x v="0"/>
    <m/>
    <m/>
    <n v="2905"/>
    <n v="2614.5"/>
    <n v="2941.3125"/>
  </r>
  <r>
    <x v="10"/>
    <x v="0"/>
    <x v="3"/>
    <x v="31"/>
    <x v="12"/>
    <x v="0"/>
    <n v="36.86"/>
    <n v="2.2400000000000002"/>
    <x v="5"/>
    <s v="DOMINIO"/>
    <x v="0"/>
    <m/>
    <m/>
    <n v="2905"/>
    <n v="2614.5"/>
    <n v="2941.3125"/>
  </r>
  <r>
    <x v="10"/>
    <x v="0"/>
    <x v="3"/>
    <x v="559"/>
    <x v="12"/>
    <x v="0"/>
    <n v="36.86"/>
    <n v="2.2400000000000002"/>
    <x v="5"/>
    <s v="DOMINIO"/>
    <x v="0"/>
    <m/>
    <m/>
    <n v="2905"/>
    <n v="2614.5"/>
    <n v="2941.3125"/>
  </r>
  <r>
    <x v="10"/>
    <x v="0"/>
    <x v="3"/>
    <x v="404"/>
    <x v="12"/>
    <x v="0"/>
    <n v="36.86"/>
    <n v="2.2400000000000002"/>
    <x v="5"/>
    <s v="DOMINIO"/>
    <x v="0"/>
    <m/>
    <m/>
    <n v="2905"/>
    <n v="2614.5"/>
    <n v="2941.3125"/>
  </r>
  <r>
    <x v="10"/>
    <x v="0"/>
    <x v="3"/>
    <x v="617"/>
    <x v="12"/>
    <x v="0"/>
    <n v="36.86"/>
    <n v="2.2400000000000002"/>
    <x v="5"/>
    <s v="DOMINIO"/>
    <x v="0"/>
    <m/>
    <m/>
    <n v="2905"/>
    <n v="2614.5"/>
    <n v="2941.3125"/>
  </r>
  <r>
    <x v="10"/>
    <x v="0"/>
    <x v="3"/>
    <x v="562"/>
    <x v="12"/>
    <x v="0"/>
    <n v="36.86"/>
    <n v="2.2400000000000002"/>
    <x v="6"/>
    <s v="DOMINIO"/>
    <x v="0"/>
    <m/>
    <m/>
    <n v="2823"/>
    <n v="2540.7000000000003"/>
    <n v="2858.2874999999999"/>
  </r>
  <r>
    <x v="10"/>
    <x v="0"/>
    <x v="3"/>
    <x v="618"/>
    <x v="12"/>
    <x v="0"/>
    <n v="36.86"/>
    <n v="2.2400000000000002"/>
    <x v="6"/>
    <s v="DOMINIO"/>
    <x v="0"/>
    <m/>
    <m/>
    <n v="2823"/>
    <n v="2540.7000000000003"/>
    <n v="2858.2874999999999"/>
  </r>
  <r>
    <x v="10"/>
    <x v="0"/>
    <x v="3"/>
    <x v="619"/>
    <x v="12"/>
    <x v="0"/>
    <n v="36.619999999999997"/>
    <n v="2.2400000000000002"/>
    <x v="6"/>
    <s v="DOMINIO"/>
    <x v="0"/>
    <m/>
    <m/>
    <n v="2823"/>
    <n v="2540.7000000000003"/>
    <n v="2858.2874999999999"/>
  </r>
  <r>
    <x v="10"/>
    <x v="0"/>
    <x v="3"/>
    <x v="620"/>
    <x v="12"/>
    <x v="0"/>
    <n v="36.86"/>
    <n v="2.2400000000000002"/>
    <x v="6"/>
    <s v="DOMINIO"/>
    <x v="0"/>
    <m/>
    <m/>
    <n v="2823"/>
    <n v="2540.7000000000003"/>
    <n v="2858.2874999999999"/>
  </r>
  <r>
    <x v="10"/>
    <x v="0"/>
    <x v="3"/>
    <x v="621"/>
    <x v="12"/>
    <x v="0"/>
    <n v="36.86"/>
    <n v="2.2400000000000002"/>
    <x v="6"/>
    <s v="DOMINIO"/>
    <x v="0"/>
    <m/>
    <m/>
    <n v="2823"/>
    <n v="2540.7000000000003"/>
    <n v="2858.2874999999999"/>
  </r>
  <r>
    <x v="10"/>
    <x v="0"/>
    <x v="10"/>
    <x v="439"/>
    <x v="3"/>
    <x v="0"/>
    <n v="42.59"/>
    <n v="2.23"/>
    <x v="5"/>
    <s v="DOMINIO"/>
    <x v="0"/>
    <m/>
    <m/>
    <n v="3216"/>
    <n v="2894.4"/>
    <n v="3256.2"/>
  </r>
  <r>
    <x v="10"/>
    <x v="0"/>
    <x v="10"/>
    <x v="352"/>
    <x v="3"/>
    <x v="0"/>
    <n v="42.78"/>
    <n v="2.2400000000000002"/>
    <x v="5"/>
    <s v="DOMINIO"/>
    <x v="0"/>
    <m/>
    <m/>
    <n v="3216"/>
    <n v="2894.4"/>
    <n v="3256.2"/>
  </r>
  <r>
    <x v="10"/>
    <x v="0"/>
    <x v="10"/>
    <x v="279"/>
    <x v="0"/>
    <x v="0"/>
    <n v="42.59"/>
    <n v="2.23"/>
    <x v="5"/>
    <s v="DOMINIO"/>
    <x v="0"/>
    <m/>
    <m/>
    <n v="3228"/>
    <n v="2905.2000000000003"/>
    <n v="3268.3500000000004"/>
  </r>
  <r>
    <x v="10"/>
    <x v="0"/>
    <x v="10"/>
    <x v="373"/>
    <x v="0"/>
    <x v="0"/>
    <n v="42.78"/>
    <n v="2.2400000000000002"/>
    <x v="5"/>
    <s v="DOMINIO"/>
    <x v="0"/>
    <m/>
    <m/>
    <n v="3228"/>
    <n v="2905.2000000000003"/>
    <n v="3268.3500000000004"/>
  </r>
  <r>
    <x v="10"/>
    <x v="0"/>
    <x v="10"/>
    <x v="281"/>
    <x v="4"/>
    <x v="0"/>
    <n v="42.59"/>
    <n v="2.23"/>
    <x v="5"/>
    <s v="DOMINIO"/>
    <x v="0"/>
    <m/>
    <m/>
    <n v="3239"/>
    <n v="2915.1"/>
    <n v="3279.4875000000002"/>
  </r>
  <r>
    <x v="10"/>
    <x v="0"/>
    <x v="10"/>
    <x v="9"/>
    <x v="4"/>
    <x v="0"/>
    <n v="42.78"/>
    <n v="2.2400000000000002"/>
    <x v="5"/>
    <s v="DOMINIO"/>
    <x v="0"/>
    <m/>
    <m/>
    <n v="3239"/>
    <n v="2915.1"/>
    <n v="3279.4875000000002"/>
  </r>
  <r>
    <x v="10"/>
    <x v="0"/>
    <x v="10"/>
    <x v="358"/>
    <x v="4"/>
    <x v="0"/>
    <n v="42.78"/>
    <n v="2.2400000000000002"/>
    <x v="5"/>
    <s v="DOMINIO"/>
    <x v="0"/>
    <m/>
    <m/>
    <n v="3239"/>
    <n v="2915.1"/>
    <n v="3279.4875000000002"/>
  </r>
  <r>
    <x v="10"/>
    <x v="0"/>
    <x v="10"/>
    <x v="283"/>
    <x v="7"/>
    <x v="0"/>
    <n v="42.59"/>
    <n v="2.23"/>
    <x v="5"/>
    <s v="DOMINIO"/>
    <x v="0"/>
    <m/>
    <m/>
    <n v="3251"/>
    <n v="2925.9"/>
    <n v="3291.6374999999998"/>
  </r>
  <r>
    <x v="10"/>
    <x v="0"/>
    <x v="10"/>
    <x v="314"/>
    <x v="7"/>
    <x v="0"/>
    <n v="42.59"/>
    <n v="2.23"/>
    <x v="5"/>
    <s v="DOMINIO"/>
    <x v="0"/>
    <m/>
    <m/>
    <n v="3251"/>
    <n v="2925.9"/>
    <n v="3291.6374999999998"/>
  </r>
  <r>
    <x v="10"/>
    <x v="0"/>
    <x v="10"/>
    <x v="378"/>
    <x v="7"/>
    <x v="0"/>
    <n v="42.78"/>
    <n v="2.2400000000000002"/>
    <x v="5"/>
    <s v="DOMINIO"/>
    <x v="0"/>
    <m/>
    <m/>
    <n v="3251"/>
    <n v="2925.9"/>
    <n v="3291.6374999999998"/>
  </r>
  <r>
    <x v="10"/>
    <x v="0"/>
    <x v="10"/>
    <x v="360"/>
    <x v="7"/>
    <x v="0"/>
    <n v="42.78"/>
    <n v="2.2400000000000002"/>
    <x v="5"/>
    <s v="DOMINIO"/>
    <x v="0"/>
    <m/>
    <m/>
    <n v="3251"/>
    <n v="2925.9"/>
    <n v="3291.6374999999998"/>
  </r>
  <r>
    <x v="10"/>
    <x v="0"/>
    <x v="10"/>
    <x v="285"/>
    <x v="8"/>
    <x v="0"/>
    <n v="42.59"/>
    <n v="2.23"/>
    <x v="5"/>
    <s v="DOMINIO"/>
    <x v="0"/>
    <m/>
    <m/>
    <n v="3263"/>
    <n v="2936.7000000000003"/>
    <n v="3303.7874999999999"/>
  </r>
  <r>
    <x v="10"/>
    <x v="0"/>
    <x v="10"/>
    <x v="322"/>
    <x v="8"/>
    <x v="0"/>
    <n v="42.59"/>
    <n v="2.23"/>
    <x v="5"/>
    <s v="DOMINIO"/>
    <x v="0"/>
    <m/>
    <m/>
    <n v="3263"/>
    <n v="2936.7000000000003"/>
    <n v="3303.7874999999999"/>
  </r>
  <r>
    <x v="10"/>
    <x v="0"/>
    <x v="10"/>
    <x v="13"/>
    <x v="8"/>
    <x v="0"/>
    <n v="42.59"/>
    <n v="2.23"/>
    <x v="5"/>
    <s v="DOMINIO"/>
    <x v="0"/>
    <m/>
    <m/>
    <n v="3263"/>
    <n v="2936.7000000000003"/>
    <n v="3303.7874999999999"/>
  </r>
  <r>
    <x v="10"/>
    <x v="0"/>
    <x v="10"/>
    <x v="361"/>
    <x v="8"/>
    <x v="0"/>
    <n v="42.78"/>
    <n v="2.2400000000000002"/>
    <x v="5"/>
    <s v="DOMINIO"/>
    <x v="0"/>
    <m/>
    <m/>
    <n v="3263"/>
    <n v="2936.7000000000003"/>
    <n v="3303.7874999999999"/>
  </r>
  <r>
    <x v="10"/>
    <x v="0"/>
    <x v="10"/>
    <x v="286"/>
    <x v="9"/>
    <x v="0"/>
    <n v="42.59"/>
    <n v="2.23"/>
    <x v="5"/>
    <s v="DOMINIO"/>
    <x v="0"/>
    <m/>
    <m/>
    <n v="3275"/>
    <n v="2947.5"/>
    <n v="3315.9375"/>
  </r>
  <r>
    <x v="10"/>
    <x v="0"/>
    <x v="10"/>
    <x v="16"/>
    <x v="9"/>
    <x v="0"/>
    <n v="42.59"/>
    <n v="2.23"/>
    <x v="5"/>
    <s v="DOMINIO"/>
    <x v="0"/>
    <m/>
    <m/>
    <n v="3275"/>
    <n v="2947.5"/>
    <n v="3315.9375"/>
  </r>
  <r>
    <x v="10"/>
    <x v="0"/>
    <x v="10"/>
    <x v="381"/>
    <x v="9"/>
    <x v="0"/>
    <n v="42.78"/>
    <n v="2.2400000000000002"/>
    <x v="5"/>
    <s v="DOMINIO"/>
    <x v="0"/>
    <m/>
    <m/>
    <n v="3275"/>
    <n v="2947.5"/>
    <n v="3315.9375"/>
  </r>
  <r>
    <x v="10"/>
    <x v="0"/>
    <x v="10"/>
    <x v="260"/>
    <x v="9"/>
    <x v="0"/>
    <n v="42.78"/>
    <n v="2.2400000000000002"/>
    <x v="5"/>
    <s v="DOMINIO"/>
    <x v="0"/>
    <m/>
    <m/>
    <n v="3275"/>
    <n v="2947.5"/>
    <n v="3315.9375"/>
  </r>
  <r>
    <x v="10"/>
    <x v="0"/>
    <x v="10"/>
    <x v="262"/>
    <x v="9"/>
    <x v="0"/>
    <n v="42.59"/>
    <n v="2.23"/>
    <x v="6"/>
    <s v="DOMINIO"/>
    <x v="0"/>
    <m/>
    <m/>
    <n v="3192"/>
    <n v="2872.8"/>
    <n v="3231.8999999999996"/>
  </r>
  <r>
    <x v="10"/>
    <x v="0"/>
    <x v="10"/>
    <x v="622"/>
    <x v="9"/>
    <x v="0"/>
    <n v="42.59"/>
    <n v="2.23"/>
    <x v="6"/>
    <s v="DOMINIO"/>
    <x v="0"/>
    <m/>
    <m/>
    <n v="3192"/>
    <n v="2872.8"/>
    <n v="3231.8999999999996"/>
  </r>
  <r>
    <x v="10"/>
    <x v="0"/>
    <x v="10"/>
    <x v="287"/>
    <x v="5"/>
    <x v="0"/>
    <n v="42.59"/>
    <n v="2.23"/>
    <x v="5"/>
    <s v="DOMINIO"/>
    <x v="0"/>
    <m/>
    <m/>
    <n v="3286"/>
    <n v="2957.4"/>
    <n v="3327.0749999999998"/>
  </r>
  <r>
    <x v="10"/>
    <x v="0"/>
    <x v="10"/>
    <x v="337"/>
    <x v="5"/>
    <x v="0"/>
    <n v="42.59"/>
    <n v="2.23"/>
    <x v="5"/>
    <s v="DOMINIO"/>
    <x v="0"/>
    <m/>
    <m/>
    <n v="3286"/>
    <n v="2957.4"/>
    <n v="3327.0749999999998"/>
  </r>
  <r>
    <x v="10"/>
    <x v="0"/>
    <x v="10"/>
    <x v="20"/>
    <x v="5"/>
    <x v="0"/>
    <n v="42.59"/>
    <n v="2.23"/>
    <x v="5"/>
    <s v="DOMINIO"/>
    <x v="0"/>
    <m/>
    <m/>
    <n v="3286"/>
    <n v="2957.4"/>
    <n v="3327.0749999999998"/>
  </r>
  <r>
    <x v="10"/>
    <x v="0"/>
    <x v="10"/>
    <x v="383"/>
    <x v="5"/>
    <x v="0"/>
    <n v="42.78"/>
    <n v="2.2400000000000002"/>
    <x v="5"/>
    <s v="DOMINIO"/>
    <x v="0"/>
    <m/>
    <m/>
    <n v="3286"/>
    <n v="2957.4"/>
    <n v="3327.0749999999998"/>
  </r>
  <r>
    <x v="10"/>
    <x v="0"/>
    <x v="10"/>
    <x v="265"/>
    <x v="5"/>
    <x v="0"/>
    <n v="42.78"/>
    <n v="2.2400000000000002"/>
    <x v="5"/>
    <s v="DOMINIO"/>
    <x v="0"/>
    <m/>
    <m/>
    <n v="3286"/>
    <n v="2957.4"/>
    <n v="3327.0749999999998"/>
  </r>
  <r>
    <x v="10"/>
    <x v="0"/>
    <x v="10"/>
    <x v="271"/>
    <x v="5"/>
    <x v="0"/>
    <n v="42.59"/>
    <n v="2.23"/>
    <x v="6"/>
    <s v="DOMINIO"/>
    <x v="0"/>
    <m/>
    <m/>
    <n v="3204"/>
    <n v="2883.6"/>
    <n v="3244.0499999999997"/>
  </r>
  <r>
    <x v="10"/>
    <x v="0"/>
    <x v="10"/>
    <x v="288"/>
    <x v="10"/>
    <x v="0"/>
    <n v="42.59"/>
    <n v="2.23"/>
    <x v="5"/>
    <s v="DOMINIO"/>
    <x v="0"/>
    <m/>
    <m/>
    <n v="3298"/>
    <n v="2968.2000000000003"/>
    <n v="3339.2249999999999"/>
  </r>
  <r>
    <x v="10"/>
    <x v="0"/>
    <x v="10"/>
    <x v="385"/>
    <x v="10"/>
    <x v="0"/>
    <n v="42.78"/>
    <n v="2.2400000000000002"/>
    <x v="5"/>
    <s v="DOMINIO"/>
    <x v="0"/>
    <m/>
    <m/>
    <n v="3298"/>
    <n v="2968.2000000000003"/>
    <n v="3339.2249999999999"/>
  </r>
  <r>
    <x v="10"/>
    <x v="0"/>
    <x v="10"/>
    <x v="365"/>
    <x v="10"/>
    <x v="0"/>
    <n v="42.78"/>
    <n v="2.2400000000000002"/>
    <x v="5"/>
    <s v="DOMINIO"/>
    <x v="0"/>
    <m/>
    <m/>
    <n v="3298"/>
    <n v="2968.2000000000003"/>
    <n v="3339.2249999999999"/>
  </r>
  <r>
    <x v="10"/>
    <x v="0"/>
    <x v="10"/>
    <x v="623"/>
    <x v="10"/>
    <x v="0"/>
    <n v="42.59"/>
    <n v="2.23"/>
    <x v="6"/>
    <s v="DOMINIO"/>
    <x v="0"/>
    <m/>
    <m/>
    <n v="3216"/>
    <n v="2894.4"/>
    <n v="3256.2"/>
  </r>
  <r>
    <x v="10"/>
    <x v="0"/>
    <x v="10"/>
    <x v="624"/>
    <x v="10"/>
    <x v="0"/>
    <n v="42.59"/>
    <n v="2.23"/>
    <x v="6"/>
    <s v="DOMINIO"/>
    <x v="0"/>
    <m/>
    <m/>
    <n v="3216"/>
    <n v="2894.4"/>
    <n v="3256.2"/>
  </r>
  <r>
    <x v="10"/>
    <x v="0"/>
    <x v="10"/>
    <x v="289"/>
    <x v="11"/>
    <x v="0"/>
    <n v="42.59"/>
    <n v="2.23"/>
    <x v="5"/>
    <s v="DOMINIO"/>
    <x v="0"/>
    <m/>
    <m/>
    <n v="3310"/>
    <n v="2979"/>
    <n v="3351.3749999999995"/>
  </r>
  <r>
    <x v="10"/>
    <x v="0"/>
    <x v="10"/>
    <x v="29"/>
    <x v="11"/>
    <x v="0"/>
    <n v="42.59"/>
    <n v="2.23"/>
    <x v="5"/>
    <s v="DOMINIO"/>
    <x v="0"/>
    <m/>
    <m/>
    <n v="3310"/>
    <n v="2979"/>
    <n v="3351.3749999999995"/>
  </r>
  <r>
    <x v="10"/>
    <x v="0"/>
    <x v="10"/>
    <x v="367"/>
    <x v="11"/>
    <x v="0"/>
    <n v="42.78"/>
    <n v="2.2400000000000002"/>
    <x v="5"/>
    <s v="DOMINIO"/>
    <x v="0"/>
    <m/>
    <m/>
    <n v="3310"/>
    <n v="2979"/>
    <n v="3351.3749999999995"/>
  </r>
  <r>
    <x v="10"/>
    <x v="0"/>
    <x v="10"/>
    <x v="625"/>
    <x v="11"/>
    <x v="0"/>
    <n v="42.59"/>
    <n v="2.23"/>
    <x v="6"/>
    <s v="DOMINIO"/>
    <x v="0"/>
    <m/>
    <m/>
    <n v="3228"/>
    <n v="2905.2000000000003"/>
    <n v="3268.3500000000004"/>
  </r>
  <r>
    <x v="10"/>
    <x v="0"/>
    <x v="10"/>
    <x v="547"/>
    <x v="12"/>
    <x v="0"/>
    <n v="42.78"/>
    <n v="2.2400000000000002"/>
    <x v="5"/>
    <s v="DOMINIO"/>
    <x v="0"/>
    <m/>
    <m/>
    <n v="3316"/>
    <n v="2984.4"/>
    <n v="3357.45"/>
  </r>
  <r>
    <x v="10"/>
    <x v="0"/>
    <x v="4"/>
    <x v="351"/>
    <x v="3"/>
    <x v="0"/>
    <n v="42.78"/>
    <n v="2.2400000000000002"/>
    <x v="5"/>
    <s v="DOMINIO"/>
    <x v="0"/>
    <m/>
    <m/>
    <n v="3098"/>
    <n v="2788.2000000000003"/>
    <n v="3136.7249999999999"/>
  </r>
  <r>
    <x v="10"/>
    <x v="0"/>
    <x v="4"/>
    <x v="244"/>
    <x v="3"/>
    <x v="0"/>
    <n v="42.78"/>
    <n v="2.2400000000000002"/>
    <x v="6"/>
    <s v="DOMINIO"/>
    <x v="0"/>
    <m/>
    <m/>
    <n v="3016"/>
    <n v="2714.4"/>
    <n v="3053.7"/>
  </r>
  <r>
    <x v="10"/>
    <x v="0"/>
    <x v="4"/>
    <x v="626"/>
    <x v="0"/>
    <x v="0"/>
    <n v="42.78"/>
    <n v="2.2400000000000002"/>
    <x v="6"/>
    <s v="DOMINIO"/>
    <x v="0"/>
    <m/>
    <m/>
    <n v="3028"/>
    <n v="2725.2000000000003"/>
    <n v="3065.8500000000004"/>
  </r>
  <r>
    <x v="10"/>
    <x v="0"/>
    <x v="4"/>
    <x v="357"/>
    <x v="4"/>
    <x v="0"/>
    <n v="42.78"/>
    <n v="2.2400000000000002"/>
    <x v="5"/>
    <s v="DOMINIO"/>
    <x v="0"/>
    <m/>
    <m/>
    <n v="3122"/>
    <n v="2809.8"/>
    <n v="3161.0250000000001"/>
  </r>
  <r>
    <x v="10"/>
    <x v="0"/>
    <x v="4"/>
    <x v="518"/>
    <x v="4"/>
    <x v="0"/>
    <n v="42.78"/>
    <n v="2.2400000000000002"/>
    <x v="6"/>
    <s v="DOMINIO"/>
    <x v="0"/>
    <m/>
    <m/>
    <n v="3039"/>
    <n v="2735.1"/>
    <n v="3076.9875000000002"/>
  </r>
  <r>
    <x v="10"/>
    <x v="0"/>
    <x v="4"/>
    <x v="10"/>
    <x v="7"/>
    <x v="0"/>
    <n v="42.78"/>
    <n v="2.2400000000000002"/>
    <x v="5"/>
    <s v="DOMINIO"/>
    <x v="0"/>
    <m/>
    <m/>
    <n v="3134"/>
    <n v="2820.6"/>
    <n v="3173.1749999999997"/>
  </r>
  <r>
    <x v="10"/>
    <x v="0"/>
    <x v="4"/>
    <x v="253"/>
    <x v="7"/>
    <x v="0"/>
    <n v="42.78"/>
    <n v="2.2400000000000002"/>
    <x v="6"/>
    <s v="DOMINIO"/>
    <x v="0"/>
    <m/>
    <m/>
    <n v="3051"/>
    <n v="2745.9"/>
    <n v="3089.1374999999998"/>
  </r>
  <r>
    <x v="10"/>
    <x v="0"/>
    <x v="4"/>
    <x v="256"/>
    <x v="7"/>
    <x v="0"/>
    <n v="42.78"/>
    <n v="2.2400000000000002"/>
    <x v="6"/>
    <s v="DOMINIO"/>
    <x v="0"/>
    <m/>
    <m/>
    <n v="3051"/>
    <n v="2745.9"/>
    <n v="3089.1374999999998"/>
  </r>
  <r>
    <x v="10"/>
    <x v="0"/>
    <x v="4"/>
    <x v="627"/>
    <x v="8"/>
    <x v="0"/>
    <n v="42.78"/>
    <n v="2.2400000000000002"/>
    <x v="6"/>
    <s v="DOMINIO"/>
    <x v="0"/>
    <m/>
    <m/>
    <n v="3063"/>
    <n v="2756.7000000000003"/>
    <n v="3101.2874999999999"/>
  </r>
  <r>
    <x v="10"/>
    <x v="0"/>
    <x v="4"/>
    <x v="259"/>
    <x v="8"/>
    <x v="0"/>
    <n v="42.78"/>
    <n v="2.2400000000000002"/>
    <x v="6"/>
    <s v="DOMINIO"/>
    <x v="0"/>
    <m/>
    <m/>
    <n v="3063"/>
    <n v="2756.7000000000003"/>
    <n v="3101.2874999999999"/>
  </r>
  <r>
    <x v="10"/>
    <x v="0"/>
    <x v="4"/>
    <x v="264"/>
    <x v="9"/>
    <x v="0"/>
    <n v="42.78"/>
    <n v="2.2400000000000002"/>
    <x v="6"/>
    <s v="DOMINIO"/>
    <x v="0"/>
    <m/>
    <m/>
    <n v="3075"/>
    <n v="2767.5"/>
    <n v="3113.4375"/>
  </r>
  <r>
    <x v="10"/>
    <x v="0"/>
    <x v="4"/>
    <x v="19"/>
    <x v="5"/>
    <x v="0"/>
    <n v="42.78"/>
    <n v="2.2400000000000002"/>
    <x v="5"/>
    <s v="DOMINIO"/>
    <x v="0"/>
    <m/>
    <m/>
    <n v="3169"/>
    <n v="2852.1"/>
    <n v="3208.6124999999997"/>
  </r>
  <r>
    <x v="10"/>
    <x v="0"/>
    <x v="4"/>
    <x v="628"/>
    <x v="5"/>
    <x v="0"/>
    <n v="42.78"/>
    <n v="2.2400000000000002"/>
    <x v="6"/>
    <s v="DOMINIO"/>
    <x v="0"/>
    <m/>
    <m/>
    <n v="3086"/>
    <n v="2777.4"/>
    <n v="3124.5749999999998"/>
  </r>
  <r>
    <x v="10"/>
    <x v="0"/>
    <x v="4"/>
    <x v="272"/>
    <x v="5"/>
    <x v="0"/>
    <n v="42.78"/>
    <n v="2.2400000000000002"/>
    <x v="6"/>
    <s v="DOMINIO"/>
    <x v="0"/>
    <m/>
    <m/>
    <n v="3086"/>
    <n v="2777.4"/>
    <n v="3124.5749999999998"/>
  </r>
  <r>
    <x v="10"/>
    <x v="0"/>
    <x v="4"/>
    <x v="23"/>
    <x v="10"/>
    <x v="0"/>
    <n v="42.78"/>
    <n v="2.2400000000000002"/>
    <x v="5"/>
    <s v="DOMINIO"/>
    <x v="0"/>
    <m/>
    <m/>
    <n v="3181"/>
    <n v="2862.9"/>
    <n v="3220.7624999999998"/>
  </r>
  <r>
    <x v="10"/>
    <x v="0"/>
    <x v="4"/>
    <x v="629"/>
    <x v="10"/>
    <x v="0"/>
    <n v="42.78"/>
    <n v="2.2400000000000002"/>
    <x v="6"/>
    <s v="DOMINIO"/>
    <x v="0"/>
    <m/>
    <m/>
    <n v="3098"/>
    <n v="2788.2000000000003"/>
    <n v="3136.7249999999999"/>
  </r>
  <r>
    <x v="10"/>
    <x v="0"/>
    <x v="4"/>
    <x v="28"/>
    <x v="11"/>
    <x v="0"/>
    <n v="42.78"/>
    <n v="2.2400000000000002"/>
    <x v="5"/>
    <s v="DOMINIO"/>
    <x v="0"/>
    <m/>
    <m/>
    <n v="3192"/>
    <n v="2872.8"/>
    <n v="3231.8999999999996"/>
  </r>
  <r>
    <x v="10"/>
    <x v="0"/>
    <x v="4"/>
    <x v="630"/>
    <x v="11"/>
    <x v="0"/>
    <n v="42.78"/>
    <n v="2.2400000000000002"/>
    <x v="6"/>
    <s v="DOMINIO"/>
    <x v="0"/>
    <m/>
    <m/>
    <n v="3110"/>
    <n v="2799"/>
    <n v="3148.8749999999995"/>
  </r>
  <r>
    <x v="10"/>
    <x v="0"/>
    <x v="4"/>
    <x v="631"/>
    <x v="11"/>
    <x v="0"/>
    <n v="42.78"/>
    <n v="2.2400000000000002"/>
    <x v="6"/>
    <s v="DOMINIO"/>
    <x v="0"/>
    <m/>
    <m/>
    <n v="3110"/>
    <n v="2799"/>
    <n v="3148.8749999999995"/>
  </r>
  <r>
    <x v="10"/>
    <x v="0"/>
    <x v="4"/>
    <x v="593"/>
    <x v="12"/>
    <x v="0"/>
    <n v="42.78"/>
    <n v="2.2400000000000002"/>
    <x v="6"/>
    <s v="DOMINIO"/>
    <x v="0"/>
    <m/>
    <m/>
    <n v="3116"/>
    <n v="2804.4"/>
    <n v="3154.95"/>
  </r>
  <r>
    <x v="10"/>
    <x v="0"/>
    <x v="4"/>
    <x v="632"/>
    <x v="12"/>
    <x v="0"/>
    <n v="42.78"/>
    <n v="2.2400000000000002"/>
    <x v="6"/>
    <s v="DOMINIO"/>
    <x v="0"/>
    <m/>
    <m/>
    <n v="3116"/>
    <n v="2804.4"/>
    <n v="3154.95"/>
  </r>
  <r>
    <x v="10"/>
    <x v="0"/>
    <x v="5"/>
    <x v="277"/>
    <x v="3"/>
    <x v="0"/>
    <n v="46.66"/>
    <n v="2.2400000000000002"/>
    <x v="8"/>
    <s v="DOMINIO"/>
    <x v="0"/>
    <m/>
    <m/>
    <n v="3258"/>
    <n v="2932.2000000000003"/>
    <n v="3298.7250000000004"/>
  </r>
  <r>
    <x v="10"/>
    <x v="0"/>
    <x v="5"/>
    <x v="278"/>
    <x v="0"/>
    <x v="0"/>
    <n v="46.66"/>
    <n v="2.2400000000000002"/>
    <x v="8"/>
    <s v="DOMINIO"/>
    <x v="0"/>
    <m/>
    <m/>
    <n v="3270"/>
    <n v="2943"/>
    <n v="3310.8749999999995"/>
  </r>
  <r>
    <x v="10"/>
    <x v="0"/>
    <x v="5"/>
    <x v="280"/>
    <x v="4"/>
    <x v="0"/>
    <n v="46.66"/>
    <n v="2.2400000000000002"/>
    <x v="8"/>
    <s v="DOMINIO"/>
    <x v="0"/>
    <m/>
    <m/>
    <n v="3282"/>
    <n v="2953.8"/>
    <n v="3323.0250000000001"/>
  </r>
  <r>
    <x v="10"/>
    <x v="0"/>
    <x v="5"/>
    <x v="516"/>
    <x v="4"/>
    <x v="0"/>
    <n v="46.66"/>
    <n v="2.2400000000000002"/>
    <x v="7"/>
    <s v="DOMINIO"/>
    <x v="0"/>
    <m/>
    <m/>
    <n v="3258"/>
    <n v="2932.2000000000003"/>
    <n v="3298.7250000000004"/>
  </r>
  <r>
    <x v="10"/>
    <x v="0"/>
    <x v="5"/>
    <x v="282"/>
    <x v="7"/>
    <x v="0"/>
    <n v="46.66"/>
    <n v="2.2400000000000002"/>
    <x v="8"/>
    <s v="DOMINIO"/>
    <x v="0"/>
    <m/>
    <m/>
    <n v="3294"/>
    <n v="2964.6"/>
    <n v="3335.1749999999997"/>
  </r>
  <r>
    <x v="10"/>
    <x v="0"/>
    <x v="5"/>
    <x v="555"/>
    <x v="7"/>
    <x v="0"/>
    <n v="46.66"/>
    <n v="2.2400000000000002"/>
    <x v="7"/>
    <s v="DOMINIO"/>
    <x v="0"/>
    <m/>
    <m/>
    <n v="3270"/>
    <n v="2943"/>
    <n v="3310.8749999999995"/>
  </r>
  <r>
    <x v="10"/>
    <x v="0"/>
    <x v="5"/>
    <x v="633"/>
    <x v="8"/>
    <x v="0"/>
    <n v="46.66"/>
    <n v="2.2400000000000002"/>
    <x v="7"/>
    <s v="DOMINIO"/>
    <x v="0"/>
    <m/>
    <m/>
    <n v="3282"/>
    <n v="2953.8"/>
    <n v="3323.0250000000001"/>
  </r>
  <r>
    <x v="10"/>
    <x v="0"/>
    <x v="5"/>
    <x v="409"/>
    <x v="9"/>
    <x v="0"/>
    <n v="46.66"/>
    <n v="2.2400000000000002"/>
    <x v="7"/>
    <s v="DOMINIO"/>
    <x v="0"/>
    <m/>
    <m/>
    <n v="3294"/>
    <n v="2964.6"/>
    <n v="3335.1749999999997"/>
  </r>
  <r>
    <x v="10"/>
    <x v="0"/>
    <x v="5"/>
    <x v="268"/>
    <x v="5"/>
    <x v="0"/>
    <n v="46.66"/>
    <n v="2.2400000000000002"/>
    <x v="7"/>
    <s v="DOMINIO"/>
    <x v="0"/>
    <m/>
    <m/>
    <n v="3305"/>
    <n v="2974.5"/>
    <n v="3346.3125"/>
  </r>
  <r>
    <x v="10"/>
    <x v="0"/>
    <x v="5"/>
    <x v="411"/>
    <x v="10"/>
    <x v="0"/>
    <n v="46.66"/>
    <n v="2.2400000000000002"/>
    <x v="7"/>
    <s v="DOMINIO"/>
    <x v="0"/>
    <m/>
    <m/>
    <n v="3317"/>
    <n v="2985.3"/>
    <n v="3358.4624999999996"/>
  </r>
  <r>
    <x v="10"/>
    <x v="0"/>
    <x v="5"/>
    <x v="413"/>
    <x v="11"/>
    <x v="0"/>
    <n v="46.66"/>
    <n v="2.2400000000000002"/>
    <x v="7"/>
    <s v="DOMINIO"/>
    <x v="0"/>
    <m/>
    <m/>
    <n v="3329"/>
    <n v="2996.1"/>
    <n v="3370.6124999999997"/>
  </r>
  <r>
    <x v="10"/>
    <x v="1"/>
    <x v="6"/>
    <x v="103"/>
    <x v="6"/>
    <x v="0"/>
    <n v="5.24"/>
    <n v="0"/>
    <x v="4"/>
    <s v="DOMINIO"/>
    <x v="0"/>
    <m/>
    <m/>
    <n v="70"/>
    <n v="70"/>
    <n v="78.75"/>
  </r>
  <r>
    <x v="10"/>
    <x v="1"/>
    <x v="6"/>
    <x v="104"/>
    <x v="6"/>
    <x v="0"/>
    <n v="5.1100000000000003"/>
    <n v="0"/>
    <x v="4"/>
    <s v="DOMINIO"/>
    <x v="0"/>
    <s v="E - 91 A"/>
    <m/>
    <n v="70"/>
    <n v="70"/>
    <n v="78.75"/>
  </r>
  <r>
    <x v="10"/>
    <x v="1"/>
    <x v="6"/>
    <x v="105"/>
    <x v="6"/>
    <x v="0"/>
    <n v="4.93"/>
    <n v="0"/>
    <x v="4"/>
    <s v="DOMINIO"/>
    <x v="0"/>
    <s v="E - 82 A"/>
    <m/>
    <n v="80"/>
    <n v="80"/>
    <n v="90"/>
  </r>
  <r>
    <x v="10"/>
    <x v="1"/>
    <x v="6"/>
    <x v="106"/>
    <x v="6"/>
    <x v="0"/>
    <n v="5.05"/>
    <n v="0"/>
    <x v="4"/>
    <s v="DOMINIO"/>
    <x v="0"/>
    <m/>
    <m/>
    <n v="70"/>
    <n v="70"/>
    <n v="78.75"/>
  </r>
  <r>
    <x v="10"/>
    <x v="1"/>
    <x v="6"/>
    <x v="107"/>
    <x v="6"/>
    <x v="0"/>
    <n v="5.05"/>
    <n v="0"/>
    <x v="4"/>
    <s v="DOMINIO"/>
    <x v="0"/>
    <m/>
    <m/>
    <n v="70"/>
    <n v="70"/>
    <n v="78.75"/>
  </r>
  <r>
    <x v="10"/>
    <x v="1"/>
    <x v="6"/>
    <x v="273"/>
    <x v="6"/>
    <x v="0"/>
    <n v="4.93"/>
    <n v="0"/>
    <x v="4"/>
    <s v="DOMINIO"/>
    <x v="0"/>
    <s v="E - 81 A"/>
    <m/>
    <n v="80"/>
    <n v="80"/>
    <n v="90"/>
  </r>
  <r>
    <x v="10"/>
    <x v="1"/>
    <x v="6"/>
    <x v="108"/>
    <x v="6"/>
    <x v="0"/>
    <n v="12.31"/>
    <n v="0"/>
    <x v="4"/>
    <s v="DOMINIO"/>
    <x v="0"/>
    <s v="E - 72 A"/>
    <m/>
    <n v="160"/>
    <n v="160"/>
    <n v="180"/>
  </r>
  <r>
    <x v="10"/>
    <x v="1"/>
    <x v="6"/>
    <x v="109"/>
    <x v="6"/>
    <x v="0"/>
    <n v="12.2"/>
    <n v="0"/>
    <x v="4"/>
    <s v="DOMINIO"/>
    <x v="0"/>
    <s v="E - 69 A"/>
    <m/>
    <n v="160"/>
    <n v="160"/>
    <n v="180"/>
  </r>
  <r>
    <x v="10"/>
    <x v="1"/>
    <x v="6"/>
    <x v="165"/>
    <x v="6"/>
    <x v="0"/>
    <n v="5.24"/>
    <n v="0"/>
    <x v="4"/>
    <s v="DOMINIO"/>
    <x v="0"/>
    <m/>
    <m/>
    <n v="70"/>
    <n v="70"/>
    <n v="78.75"/>
  </r>
  <r>
    <x v="10"/>
    <x v="1"/>
    <x v="6"/>
    <x v="274"/>
    <x v="6"/>
    <x v="0"/>
    <n v="5.1100000000000003"/>
    <n v="0"/>
    <x v="4"/>
    <s v="DOMINIO"/>
    <x v="0"/>
    <s v="E - 67 A"/>
    <m/>
    <n v="70"/>
    <n v="70"/>
    <n v="78.75"/>
  </r>
  <r>
    <x v="10"/>
    <x v="1"/>
    <x v="6"/>
    <x v="110"/>
    <x v="6"/>
    <x v="0"/>
    <n v="10.61"/>
    <n v="0"/>
    <x v="4"/>
    <s v="DOMINIO"/>
    <x v="0"/>
    <s v="E - 66 A"/>
    <m/>
    <n v="140"/>
    <n v="140"/>
    <n v="157.5"/>
  </r>
  <r>
    <x v="10"/>
    <x v="1"/>
    <x v="6"/>
    <x v="111"/>
    <x v="6"/>
    <x v="0"/>
    <n v="10.6"/>
    <n v="0"/>
    <x v="4"/>
    <s v="DOMINIO"/>
    <x v="0"/>
    <s v="E - 65 A"/>
    <m/>
    <n v="140"/>
    <n v="140"/>
    <n v="157.5"/>
  </r>
  <r>
    <x v="10"/>
    <x v="1"/>
    <x v="6"/>
    <x v="112"/>
    <x v="6"/>
    <x v="0"/>
    <n v="5.1100000000000003"/>
    <n v="0"/>
    <x v="4"/>
    <s v="DOMINIO"/>
    <x v="0"/>
    <s v="E - 64 A"/>
    <m/>
    <n v="70"/>
    <n v="70"/>
    <n v="78.75"/>
  </r>
  <r>
    <x v="10"/>
    <x v="1"/>
    <x v="6"/>
    <x v="113"/>
    <x v="6"/>
    <x v="0"/>
    <n v="5.24"/>
    <n v="0"/>
    <x v="4"/>
    <s v="DOMINIO"/>
    <x v="0"/>
    <m/>
    <m/>
    <n v="70"/>
    <n v="70"/>
    <n v="78.75"/>
  </r>
  <r>
    <x v="10"/>
    <x v="1"/>
    <x v="6"/>
    <x v="114"/>
    <x v="6"/>
    <x v="0"/>
    <n v="12.2"/>
    <n v="0"/>
    <x v="4"/>
    <s v="DOMINIO"/>
    <x v="0"/>
    <s v="E - 62 A"/>
    <m/>
    <n v="160"/>
    <n v="160"/>
    <n v="180"/>
  </r>
  <r>
    <x v="10"/>
    <x v="1"/>
    <x v="6"/>
    <x v="115"/>
    <x v="6"/>
    <x v="0"/>
    <n v="12.2"/>
    <n v="0"/>
    <x v="4"/>
    <s v="DOMINIO"/>
    <x v="0"/>
    <s v="E - 60 A"/>
    <m/>
    <n v="160"/>
    <n v="160"/>
    <n v="180"/>
  </r>
  <r>
    <x v="10"/>
    <x v="1"/>
    <x v="6"/>
    <x v="116"/>
    <x v="6"/>
    <x v="0"/>
    <n v="5.24"/>
    <n v="0"/>
    <x v="4"/>
    <s v="DOMINIO"/>
    <x v="0"/>
    <m/>
    <m/>
    <n v="70"/>
    <n v="70"/>
    <n v="78.75"/>
  </r>
  <r>
    <x v="10"/>
    <x v="1"/>
    <x v="6"/>
    <x v="117"/>
    <x v="6"/>
    <x v="0"/>
    <n v="5.1100000000000003"/>
    <n v="0"/>
    <x v="4"/>
    <s v="DOMINIO"/>
    <x v="0"/>
    <s v="E - 57 A"/>
    <m/>
    <n v="70"/>
    <n v="70"/>
    <n v="78.75"/>
  </r>
  <r>
    <x v="10"/>
    <x v="1"/>
    <x v="6"/>
    <x v="166"/>
    <x v="6"/>
    <x v="0"/>
    <n v="10.72"/>
    <n v="0"/>
    <x v="4"/>
    <s v="DOMINIO"/>
    <x v="0"/>
    <s v="E - 56 A"/>
    <m/>
    <n v="140"/>
    <n v="140"/>
    <n v="157.5"/>
  </r>
  <r>
    <x v="10"/>
    <x v="1"/>
    <x v="6"/>
    <x v="118"/>
    <x v="6"/>
    <x v="0"/>
    <n v="5.27"/>
    <n v="0"/>
    <x v="4"/>
    <s v="DOMINIO"/>
    <x v="0"/>
    <s v="E - 11 A"/>
    <m/>
    <n v="70"/>
    <n v="70"/>
    <n v="78.75"/>
  </r>
  <r>
    <x v="10"/>
    <x v="1"/>
    <x v="6"/>
    <x v="119"/>
    <x v="6"/>
    <x v="0"/>
    <n v="5.24"/>
    <n v="0"/>
    <x v="4"/>
    <s v="DOMINIO"/>
    <x v="0"/>
    <m/>
    <m/>
    <n v="70"/>
    <n v="70"/>
    <n v="78.75"/>
  </r>
  <r>
    <x v="10"/>
    <x v="1"/>
    <x v="6"/>
    <x v="120"/>
    <x v="6"/>
    <x v="0"/>
    <n v="2.81"/>
    <n v="0"/>
    <x v="4"/>
    <s v="DOMINIO"/>
    <x v="0"/>
    <m/>
    <m/>
    <n v="50"/>
    <n v="50"/>
    <n v="56.25"/>
  </r>
  <r>
    <x v="10"/>
    <x v="1"/>
    <x v="6"/>
    <x v="122"/>
    <x v="6"/>
    <x v="0"/>
    <n v="2.5"/>
    <n v="0"/>
    <x v="4"/>
    <s v="DOMINIO"/>
    <x v="0"/>
    <m/>
    <m/>
    <n v="40"/>
    <n v="40"/>
    <n v="45"/>
  </r>
  <r>
    <x v="10"/>
    <x v="1"/>
    <x v="6"/>
    <x v="123"/>
    <x v="6"/>
    <x v="0"/>
    <n v="2.65"/>
    <n v="0"/>
    <x v="4"/>
    <s v="DOMINIO"/>
    <x v="0"/>
    <m/>
    <m/>
    <n v="40"/>
    <n v="40"/>
    <n v="45"/>
  </r>
  <r>
    <x v="10"/>
    <x v="1"/>
    <x v="6"/>
    <x v="126"/>
    <x v="6"/>
    <x v="0"/>
    <n v="2.95"/>
    <n v="0"/>
    <x v="4"/>
    <s v="DOMINIO"/>
    <x v="0"/>
    <m/>
    <m/>
    <n v="50"/>
    <n v="50"/>
    <n v="56.25"/>
  </r>
  <r>
    <x v="10"/>
    <x v="1"/>
    <x v="6"/>
    <x v="127"/>
    <x v="6"/>
    <x v="0"/>
    <n v="2.89"/>
    <n v="0"/>
    <x v="4"/>
    <s v="DOMINIO"/>
    <x v="0"/>
    <m/>
    <m/>
    <n v="50"/>
    <n v="50"/>
    <n v="56.25"/>
  </r>
  <r>
    <x v="10"/>
    <x v="1"/>
    <x v="6"/>
    <x v="128"/>
    <x v="6"/>
    <x v="0"/>
    <n v="2.65"/>
    <n v="0"/>
    <x v="4"/>
    <s v="DOMINIO"/>
    <x v="0"/>
    <m/>
    <m/>
    <n v="40"/>
    <n v="40"/>
    <n v="45"/>
  </r>
  <r>
    <x v="10"/>
    <x v="1"/>
    <x v="6"/>
    <x v="129"/>
    <x v="6"/>
    <x v="0"/>
    <n v="2.5"/>
    <n v="0"/>
    <x v="4"/>
    <s v="DOMINIO"/>
    <x v="0"/>
    <m/>
    <m/>
    <n v="40"/>
    <n v="40"/>
    <n v="45"/>
  </r>
  <r>
    <x v="10"/>
    <x v="1"/>
    <x v="6"/>
    <x v="130"/>
    <x v="6"/>
    <x v="0"/>
    <n v="2.5"/>
    <n v="0"/>
    <x v="4"/>
    <s v="DOMINIO"/>
    <x v="0"/>
    <m/>
    <m/>
    <n v="40"/>
    <n v="40"/>
    <n v="45"/>
  </r>
  <r>
    <x v="10"/>
    <x v="1"/>
    <x v="6"/>
    <x v="131"/>
    <x v="6"/>
    <x v="0"/>
    <n v="2.5"/>
    <n v="0"/>
    <x v="4"/>
    <s v="DOMINIO"/>
    <x v="0"/>
    <m/>
    <m/>
    <n v="40"/>
    <n v="40"/>
    <n v="45"/>
  </r>
  <r>
    <x v="10"/>
    <x v="1"/>
    <x v="6"/>
    <x v="132"/>
    <x v="6"/>
    <x v="0"/>
    <n v="2.65"/>
    <n v="0"/>
    <x v="4"/>
    <s v="DOMINIO"/>
    <x v="0"/>
    <m/>
    <m/>
    <n v="40"/>
    <n v="40"/>
    <n v="45"/>
  </r>
  <r>
    <x v="10"/>
    <x v="1"/>
    <x v="6"/>
    <x v="133"/>
    <x v="6"/>
    <x v="0"/>
    <n v="2.65"/>
    <n v="0"/>
    <x v="4"/>
    <s v="DOMINIO"/>
    <x v="0"/>
    <m/>
    <m/>
    <n v="40"/>
    <n v="40"/>
    <n v="45"/>
  </r>
  <r>
    <x v="10"/>
    <x v="1"/>
    <x v="6"/>
    <x v="134"/>
    <x v="6"/>
    <x v="0"/>
    <n v="2.5"/>
    <n v="0"/>
    <x v="4"/>
    <s v="DOMINIO"/>
    <x v="0"/>
    <m/>
    <m/>
    <n v="40"/>
    <n v="40"/>
    <n v="45"/>
  </r>
  <r>
    <x v="10"/>
    <x v="1"/>
    <x v="6"/>
    <x v="135"/>
    <x v="6"/>
    <x v="0"/>
    <n v="2.5"/>
    <n v="0"/>
    <x v="4"/>
    <s v="DOMINIO"/>
    <x v="0"/>
    <m/>
    <m/>
    <n v="40"/>
    <n v="40"/>
    <n v="45"/>
  </r>
  <r>
    <x v="10"/>
    <x v="1"/>
    <x v="6"/>
    <x v="136"/>
    <x v="6"/>
    <x v="0"/>
    <n v="2.5"/>
    <n v="0"/>
    <x v="4"/>
    <s v="DOMINIO"/>
    <x v="0"/>
    <m/>
    <m/>
    <n v="40"/>
    <n v="40"/>
    <n v="45"/>
  </r>
  <r>
    <x v="10"/>
    <x v="1"/>
    <x v="6"/>
    <x v="137"/>
    <x v="6"/>
    <x v="0"/>
    <n v="2.81"/>
    <n v="0"/>
    <x v="4"/>
    <s v="DOMINIO"/>
    <x v="0"/>
    <m/>
    <m/>
    <n v="50"/>
    <n v="50"/>
    <n v="56.25"/>
  </r>
  <r>
    <x v="10"/>
    <x v="1"/>
    <x v="6"/>
    <x v="138"/>
    <x v="6"/>
    <x v="0"/>
    <n v="3.18"/>
    <n v="0"/>
    <x v="4"/>
    <s v="DOMINIO"/>
    <x v="0"/>
    <m/>
    <m/>
    <n v="50"/>
    <n v="50"/>
    <n v="56.25"/>
  </r>
  <r>
    <x v="10"/>
    <x v="1"/>
    <x v="6"/>
    <x v="139"/>
    <x v="6"/>
    <x v="0"/>
    <n v="2.89"/>
    <n v="0"/>
    <x v="4"/>
    <s v="DOMINIO"/>
    <x v="0"/>
    <m/>
    <m/>
    <n v="50"/>
    <n v="50"/>
    <n v="56.25"/>
  </r>
  <r>
    <x v="10"/>
    <x v="1"/>
    <x v="6"/>
    <x v="140"/>
    <x v="6"/>
    <x v="0"/>
    <n v="2.95"/>
    <n v="0"/>
    <x v="4"/>
    <s v="DOMINIO"/>
    <x v="0"/>
    <m/>
    <m/>
    <n v="50"/>
    <n v="50"/>
    <n v="56.25"/>
  </r>
  <r>
    <x v="10"/>
    <x v="1"/>
    <x v="6"/>
    <x v="141"/>
    <x v="20"/>
    <x v="0"/>
    <n v="9.9499999999999993"/>
    <n v="0"/>
    <x v="4"/>
    <s v="DOMINIO"/>
    <x v="0"/>
    <s v="E - 92 A"/>
    <m/>
    <n v="130"/>
    <n v="130"/>
    <n v="146.25"/>
  </r>
  <r>
    <x v="10"/>
    <x v="1"/>
    <x v="6"/>
    <x v="142"/>
    <x v="20"/>
    <x v="0"/>
    <n v="5.03"/>
    <n v="0"/>
    <x v="4"/>
    <s v="DOMINIO"/>
    <x v="0"/>
    <s v="E - 93 A"/>
    <m/>
    <n v="70"/>
    <n v="70"/>
    <n v="78.75"/>
  </r>
  <r>
    <x v="10"/>
    <x v="1"/>
    <x v="6"/>
    <x v="144"/>
    <x v="20"/>
    <x v="0"/>
    <n v="11.1"/>
    <n v="0"/>
    <x v="4"/>
    <s v="DOMINIO"/>
    <x v="0"/>
    <s v="E - 96 A"/>
    <m/>
    <n v="150"/>
    <n v="150"/>
    <n v="168.75"/>
  </r>
  <r>
    <x v="10"/>
    <x v="1"/>
    <x v="6"/>
    <x v="145"/>
    <x v="20"/>
    <x v="0"/>
    <n v="11.1"/>
    <n v="0"/>
    <x v="4"/>
    <s v="DOMINIO"/>
    <x v="0"/>
    <s v="E - 98 A"/>
    <m/>
    <n v="150"/>
    <n v="150"/>
    <n v="168.75"/>
  </r>
  <r>
    <x v="10"/>
    <x v="1"/>
    <x v="6"/>
    <x v="397"/>
    <x v="20"/>
    <x v="0"/>
    <n v="9.89"/>
    <n v="0"/>
    <x v="4"/>
    <s v="DOMINIO"/>
    <x v="0"/>
    <s v="E - 101 A"/>
    <m/>
    <n v="130"/>
    <n v="130"/>
    <n v="146.25"/>
  </r>
  <r>
    <x v="10"/>
    <x v="1"/>
    <x v="6"/>
    <x v="169"/>
    <x v="20"/>
    <x v="0"/>
    <n v="9.89"/>
    <n v="0"/>
    <x v="4"/>
    <s v="DOMINIO"/>
    <x v="0"/>
    <s v="E - 102 A"/>
    <m/>
    <n v="130"/>
    <n v="130"/>
    <n v="146.25"/>
  </r>
  <r>
    <x v="10"/>
    <x v="1"/>
    <x v="6"/>
    <x v="398"/>
    <x v="20"/>
    <x v="0"/>
    <n v="4.4400000000000004"/>
    <n v="0"/>
    <x v="4"/>
    <s v="DOMINIO"/>
    <x v="0"/>
    <m/>
    <m/>
    <n v="70"/>
    <n v="70"/>
    <n v="78.75"/>
  </r>
  <r>
    <x v="10"/>
    <x v="1"/>
    <x v="6"/>
    <x v="171"/>
    <x v="20"/>
    <x v="0"/>
    <n v="11.1"/>
    <n v="0"/>
    <x v="4"/>
    <s v="DOMINIO"/>
    <x v="0"/>
    <s v="E - 105 A"/>
    <m/>
    <n v="150"/>
    <n v="150"/>
    <n v="168.75"/>
  </r>
  <r>
    <x v="10"/>
    <x v="1"/>
    <x v="6"/>
    <x v="399"/>
    <x v="20"/>
    <x v="0"/>
    <n v="11.16"/>
    <n v="0"/>
    <x v="4"/>
    <s v="DOMINIO"/>
    <x v="0"/>
    <s v="E - 108 A"/>
    <m/>
    <n v="150"/>
    <n v="150"/>
    <n v="168.75"/>
  </r>
  <r>
    <x v="10"/>
    <x v="1"/>
    <x v="6"/>
    <x v="173"/>
    <x v="20"/>
    <x v="0"/>
    <n v="4.91"/>
    <n v="0"/>
    <x v="4"/>
    <s v="DOMINIO"/>
    <x v="0"/>
    <m/>
    <m/>
    <n v="80"/>
    <n v="80"/>
    <n v="90"/>
  </r>
  <r>
    <x v="10"/>
    <x v="1"/>
    <x v="6"/>
    <x v="174"/>
    <x v="20"/>
    <x v="0"/>
    <n v="4.99"/>
    <n v="0"/>
    <x v="4"/>
    <s v="DOMINIO"/>
    <x v="0"/>
    <s v="E - 118 A"/>
    <m/>
    <n v="80"/>
    <n v="80"/>
    <n v="90"/>
  </r>
  <r>
    <x v="10"/>
    <x v="1"/>
    <x v="6"/>
    <x v="148"/>
    <x v="20"/>
    <x v="0"/>
    <n v="4.99"/>
    <n v="0"/>
    <x v="4"/>
    <s v="DOMINIO"/>
    <x v="0"/>
    <s v="E - 127 A"/>
    <m/>
    <n v="80"/>
    <n v="80"/>
    <n v="90"/>
  </r>
  <r>
    <x v="10"/>
    <x v="1"/>
    <x v="6"/>
    <x v="149"/>
    <x v="20"/>
    <x v="0"/>
    <n v="4.91"/>
    <n v="0"/>
    <x v="4"/>
    <s v="DOMINIO"/>
    <x v="0"/>
    <m/>
    <m/>
    <n v="80"/>
    <n v="80"/>
    <n v="90"/>
  </r>
  <r>
    <x v="10"/>
    <x v="1"/>
    <x v="6"/>
    <x v="150"/>
    <x v="20"/>
    <x v="0"/>
    <n v="5.28"/>
    <n v="0"/>
    <x v="4"/>
    <s v="DOMINIO"/>
    <x v="0"/>
    <m/>
    <m/>
    <n v="70"/>
    <n v="70"/>
    <n v="78.75"/>
  </r>
  <r>
    <x v="10"/>
    <x v="1"/>
    <x v="6"/>
    <x v="176"/>
    <x v="20"/>
    <x v="0"/>
    <n v="5.28"/>
    <n v="0"/>
    <x v="4"/>
    <s v="DOMINIO"/>
    <x v="0"/>
    <m/>
    <m/>
    <n v="70"/>
    <n v="70"/>
    <n v="78.75"/>
  </r>
  <r>
    <x v="10"/>
    <x v="1"/>
    <x v="6"/>
    <x v="151"/>
    <x v="20"/>
    <x v="0"/>
    <n v="5.51"/>
    <n v="0"/>
    <x v="4"/>
    <s v="DOMINIO"/>
    <x v="0"/>
    <m/>
    <m/>
    <n v="70"/>
    <n v="70"/>
    <n v="78.75"/>
  </r>
  <r>
    <x v="10"/>
    <x v="1"/>
    <x v="6"/>
    <x v="152"/>
    <x v="20"/>
    <x v="0"/>
    <n v="2.31"/>
    <n v="0"/>
    <x v="4"/>
    <s v="DOMINIO"/>
    <x v="0"/>
    <s v="E - 128 A"/>
    <m/>
    <n v="40"/>
    <n v="40"/>
    <n v="45"/>
  </r>
  <r>
    <x v="10"/>
    <x v="1"/>
    <x v="6"/>
    <x v="153"/>
    <x v="20"/>
    <x v="0"/>
    <n v="3.09"/>
    <n v="0"/>
    <x v="4"/>
    <s v="DOMINIO"/>
    <x v="0"/>
    <s v="E - 129 A"/>
    <m/>
    <n v="50"/>
    <n v="50"/>
    <n v="56.25"/>
  </r>
  <r>
    <x v="10"/>
    <x v="1"/>
    <x v="6"/>
    <x v="154"/>
    <x v="20"/>
    <x v="0"/>
    <n v="2.2599999999999998"/>
    <n v="0"/>
    <x v="4"/>
    <s v="DOMINIO"/>
    <x v="0"/>
    <m/>
    <m/>
    <n v="40"/>
    <n v="40"/>
    <n v="45"/>
  </r>
  <r>
    <x v="10"/>
    <x v="1"/>
    <x v="6"/>
    <x v="156"/>
    <x v="20"/>
    <x v="0"/>
    <n v="1.97"/>
    <n v="0"/>
    <x v="4"/>
    <s v="DOMINIO"/>
    <x v="0"/>
    <m/>
    <m/>
    <n v="30"/>
    <n v="30"/>
    <n v="33.75"/>
  </r>
  <r>
    <x v="10"/>
    <x v="1"/>
    <x v="6"/>
    <x v="157"/>
    <x v="20"/>
    <x v="0"/>
    <n v="3"/>
    <n v="0"/>
    <x v="4"/>
    <s v="DOMINIO"/>
    <x v="0"/>
    <m/>
    <m/>
    <n v="50"/>
    <n v="50"/>
    <n v="56.25"/>
  </r>
  <r>
    <x v="10"/>
    <x v="1"/>
    <x v="6"/>
    <x v="158"/>
    <x v="20"/>
    <x v="0"/>
    <n v="1.62"/>
    <n v="0"/>
    <x v="4"/>
    <s v="DOMINIO"/>
    <x v="0"/>
    <m/>
    <m/>
    <n v="30"/>
    <n v="30"/>
    <n v="33.75"/>
  </r>
  <r>
    <x v="10"/>
    <x v="1"/>
    <x v="6"/>
    <x v="159"/>
    <x v="20"/>
    <x v="0"/>
    <n v="1.62"/>
    <n v="0"/>
    <x v="4"/>
    <s v="DOMINIO"/>
    <x v="0"/>
    <m/>
    <m/>
    <n v="30"/>
    <n v="30"/>
    <n v="33.75"/>
  </r>
  <r>
    <x v="10"/>
    <x v="1"/>
    <x v="6"/>
    <x v="160"/>
    <x v="20"/>
    <x v="0"/>
    <n v="2.7"/>
    <n v="0"/>
    <x v="4"/>
    <s v="DOMINIO"/>
    <x v="0"/>
    <m/>
    <m/>
    <n v="50"/>
    <n v="50"/>
    <n v="56.25"/>
  </r>
  <r>
    <x v="10"/>
    <x v="1"/>
    <x v="6"/>
    <x v="161"/>
    <x v="20"/>
    <x v="0"/>
    <n v="2.5"/>
    <n v="0"/>
    <x v="4"/>
    <s v="DOMINIO"/>
    <x v="0"/>
    <m/>
    <m/>
    <n v="40"/>
    <n v="40"/>
    <n v="45"/>
  </r>
  <r>
    <x v="10"/>
    <x v="1"/>
    <x v="6"/>
    <x v="162"/>
    <x v="20"/>
    <x v="0"/>
    <n v="2.5"/>
    <n v="0"/>
    <x v="4"/>
    <s v="DOMINIO"/>
    <x v="0"/>
    <m/>
    <m/>
    <n v="40"/>
    <n v="40"/>
    <n v="45"/>
  </r>
  <r>
    <x v="10"/>
    <x v="1"/>
    <x v="6"/>
    <x v="163"/>
    <x v="20"/>
    <x v="0"/>
    <n v="2.5"/>
    <n v="0"/>
    <x v="4"/>
    <s v="DOMINIO"/>
    <x v="0"/>
    <m/>
    <m/>
    <n v="40"/>
    <n v="40"/>
    <n v="45"/>
  </r>
  <r>
    <x v="10"/>
    <x v="1"/>
    <x v="6"/>
    <x v="164"/>
    <x v="20"/>
    <x v="0"/>
    <n v="2.91"/>
    <n v="0"/>
    <x v="4"/>
    <s v="DOMINIO"/>
    <x v="0"/>
    <m/>
    <m/>
    <n v="50"/>
    <n v="50"/>
    <n v="56.25"/>
  </r>
  <r>
    <x v="10"/>
    <x v="1"/>
    <x v="6"/>
    <x v="178"/>
    <x v="20"/>
    <x v="0"/>
    <n v="3.28"/>
    <n v="0"/>
    <x v="4"/>
    <s v="DOMINIO"/>
    <x v="0"/>
    <m/>
    <m/>
    <n v="50"/>
    <n v="50"/>
    <n v="56.25"/>
  </r>
  <r>
    <x v="10"/>
    <x v="1"/>
    <x v="6"/>
    <x v="535"/>
    <x v="20"/>
    <x v="0"/>
    <n v="2.78"/>
    <n v="0"/>
    <x v="4"/>
    <s v="DOMINIO"/>
    <x v="0"/>
    <m/>
    <m/>
    <n v="50"/>
    <n v="50"/>
    <n v="56.25"/>
  </r>
  <r>
    <x v="10"/>
    <x v="1"/>
    <x v="6"/>
    <x v="180"/>
    <x v="20"/>
    <x v="0"/>
    <n v="2.61"/>
    <n v="0"/>
    <x v="4"/>
    <s v="DOMINIO"/>
    <x v="0"/>
    <m/>
    <m/>
    <n v="40"/>
    <n v="40"/>
    <n v="45"/>
  </r>
  <r>
    <x v="10"/>
    <x v="1"/>
    <x v="6"/>
    <x v="181"/>
    <x v="20"/>
    <x v="0"/>
    <n v="2.61"/>
    <n v="0"/>
    <x v="4"/>
    <s v="DOMINIO"/>
    <x v="0"/>
    <m/>
    <m/>
    <n v="40"/>
    <n v="40"/>
    <n v="45"/>
  </r>
  <r>
    <x v="10"/>
    <x v="1"/>
    <x v="6"/>
    <x v="182"/>
    <x v="20"/>
    <x v="0"/>
    <n v="2.78"/>
    <n v="0"/>
    <x v="4"/>
    <s v="DOMINIO"/>
    <x v="0"/>
    <m/>
    <m/>
    <n v="50"/>
    <n v="50"/>
    <n v="56.25"/>
  </r>
  <r>
    <x v="10"/>
    <x v="1"/>
    <x v="6"/>
    <x v="183"/>
    <x v="20"/>
    <x v="0"/>
    <n v="2.88"/>
    <n v="0"/>
    <x v="4"/>
    <s v="DOMINIO"/>
    <x v="0"/>
    <m/>
    <m/>
    <n v="50"/>
    <n v="50"/>
    <n v="56.25"/>
  </r>
  <r>
    <x v="10"/>
    <x v="1"/>
    <x v="6"/>
    <x v="184"/>
    <x v="20"/>
    <x v="0"/>
    <n v="2.74"/>
    <n v="0"/>
    <x v="4"/>
    <s v="DOMINIO"/>
    <x v="0"/>
    <m/>
    <m/>
    <n v="50"/>
    <n v="50"/>
    <n v="56.25"/>
  </r>
  <r>
    <x v="10"/>
    <x v="1"/>
    <x v="6"/>
    <x v="185"/>
    <x v="20"/>
    <x v="0"/>
    <n v="2.8"/>
    <n v="0"/>
    <x v="4"/>
    <s v="DOMINIO"/>
    <x v="0"/>
    <m/>
    <m/>
    <n v="50"/>
    <n v="50"/>
    <n v="56.25"/>
  </r>
  <r>
    <x v="10"/>
    <x v="1"/>
    <x v="6"/>
    <x v="186"/>
    <x v="20"/>
    <x v="0"/>
    <n v="2.8"/>
    <n v="0"/>
    <x v="4"/>
    <s v="DOMINIO"/>
    <x v="0"/>
    <m/>
    <m/>
    <n v="50"/>
    <n v="50"/>
    <n v="56.25"/>
  </r>
  <r>
    <x v="10"/>
    <x v="1"/>
    <x v="6"/>
    <x v="187"/>
    <x v="20"/>
    <x v="0"/>
    <n v="2.74"/>
    <n v="0"/>
    <x v="4"/>
    <s v="DOMINIO"/>
    <x v="0"/>
    <m/>
    <m/>
    <n v="50"/>
    <n v="50"/>
    <n v="56.25"/>
  </r>
  <r>
    <x v="10"/>
    <x v="1"/>
    <x v="6"/>
    <x v="188"/>
    <x v="20"/>
    <x v="0"/>
    <n v="2.88"/>
    <n v="0"/>
    <x v="4"/>
    <s v="DOMINIO"/>
    <x v="0"/>
    <m/>
    <m/>
    <n v="50"/>
    <n v="50"/>
    <n v="56.25"/>
  </r>
  <r>
    <x v="10"/>
    <x v="1"/>
    <x v="6"/>
    <x v="189"/>
    <x v="20"/>
    <x v="0"/>
    <n v="2.78"/>
    <n v="0"/>
    <x v="4"/>
    <s v="DOMINIO"/>
    <x v="0"/>
    <m/>
    <m/>
    <n v="50"/>
    <n v="50"/>
    <n v="56.25"/>
  </r>
  <r>
    <x v="10"/>
    <x v="1"/>
    <x v="6"/>
    <x v="190"/>
    <x v="20"/>
    <x v="0"/>
    <n v="2.61"/>
    <n v="0"/>
    <x v="4"/>
    <s v="DOMINIO"/>
    <x v="0"/>
    <m/>
    <m/>
    <n v="40"/>
    <n v="40"/>
    <n v="45"/>
  </r>
  <r>
    <x v="10"/>
    <x v="1"/>
    <x v="6"/>
    <x v="191"/>
    <x v="20"/>
    <x v="0"/>
    <n v="2.61"/>
    <n v="0"/>
    <x v="4"/>
    <s v="DOMINIO"/>
    <x v="0"/>
    <m/>
    <m/>
    <n v="40"/>
    <n v="40"/>
    <n v="45"/>
  </r>
  <r>
    <x v="10"/>
    <x v="1"/>
    <x v="6"/>
    <x v="192"/>
    <x v="20"/>
    <x v="0"/>
    <n v="2.61"/>
    <n v="0"/>
    <x v="4"/>
    <s v="DOMINIO"/>
    <x v="0"/>
    <m/>
    <m/>
    <n v="40"/>
    <n v="40"/>
    <n v="45"/>
  </r>
  <r>
    <x v="10"/>
    <x v="1"/>
    <x v="6"/>
    <x v="193"/>
    <x v="20"/>
    <x v="0"/>
    <n v="2.78"/>
    <n v="0"/>
    <x v="4"/>
    <s v="DOMINIO"/>
    <x v="0"/>
    <m/>
    <m/>
    <n v="50"/>
    <n v="50"/>
    <n v="56.25"/>
  </r>
  <r>
    <x v="10"/>
    <x v="1"/>
    <x v="6"/>
    <x v="194"/>
    <x v="20"/>
    <x v="0"/>
    <n v="2.78"/>
    <n v="0"/>
    <x v="4"/>
    <s v="DOMINIO"/>
    <x v="0"/>
    <m/>
    <m/>
    <n v="50"/>
    <n v="50"/>
    <n v="56.25"/>
  </r>
  <r>
    <x v="10"/>
    <x v="1"/>
    <x v="6"/>
    <x v="7"/>
    <x v="20"/>
    <x v="0"/>
    <n v="2.61"/>
    <n v="0"/>
    <x v="4"/>
    <s v="DOMINIO"/>
    <x v="0"/>
    <m/>
    <m/>
    <n v="40"/>
    <n v="40"/>
    <n v="45"/>
  </r>
  <r>
    <x v="10"/>
    <x v="1"/>
    <x v="6"/>
    <x v="195"/>
    <x v="20"/>
    <x v="0"/>
    <n v="2.61"/>
    <n v="0"/>
    <x v="4"/>
    <s v="DOMINIO"/>
    <x v="0"/>
    <m/>
    <m/>
    <n v="40"/>
    <n v="40"/>
    <n v="45"/>
  </r>
  <r>
    <x v="10"/>
    <x v="1"/>
    <x v="6"/>
    <x v="196"/>
    <x v="20"/>
    <x v="0"/>
    <n v="2.61"/>
    <n v="0"/>
    <x v="4"/>
    <s v="DOMINIO"/>
    <x v="0"/>
    <m/>
    <m/>
    <n v="40"/>
    <n v="40"/>
    <n v="45"/>
  </r>
  <r>
    <x v="10"/>
    <x v="1"/>
    <x v="6"/>
    <x v="197"/>
    <x v="20"/>
    <x v="0"/>
    <n v="3.05"/>
    <n v="0"/>
    <x v="4"/>
    <s v="DOMINIO"/>
    <x v="0"/>
    <m/>
    <m/>
    <n v="50"/>
    <n v="50"/>
    <n v="56.25"/>
  </r>
  <r>
    <x v="10"/>
    <x v="1"/>
    <x v="6"/>
    <x v="199"/>
    <x v="20"/>
    <x v="0"/>
    <n v="2.74"/>
    <n v="0"/>
    <x v="4"/>
    <s v="DOMINIO"/>
    <x v="0"/>
    <m/>
    <m/>
    <n v="50"/>
    <n v="50"/>
    <n v="56.25"/>
  </r>
  <r>
    <x v="10"/>
    <x v="1"/>
    <x v="6"/>
    <x v="200"/>
    <x v="20"/>
    <x v="0"/>
    <n v="2.8"/>
    <n v="0"/>
    <x v="4"/>
    <s v="DOMINIO"/>
    <x v="0"/>
    <m/>
    <m/>
    <n v="50"/>
    <n v="50"/>
    <n v="56.25"/>
  </r>
  <r>
    <x v="10"/>
    <x v="1"/>
    <x v="6"/>
    <x v="201"/>
    <x v="20"/>
    <x v="0"/>
    <n v="6.56"/>
    <n v="0"/>
    <x v="4"/>
    <s v="DOMINIO"/>
    <x v="0"/>
    <m/>
    <m/>
    <n v="90"/>
    <n v="90"/>
    <n v="101.25"/>
  </r>
  <r>
    <x v="10"/>
    <x v="1"/>
    <x v="6"/>
    <x v="202"/>
    <x v="20"/>
    <x v="0"/>
    <n v="2.34"/>
    <n v="0"/>
    <x v="4"/>
    <s v="DOMINIO"/>
    <x v="0"/>
    <m/>
    <m/>
    <n v="40"/>
    <n v="40"/>
    <n v="45"/>
  </r>
  <r>
    <x v="10"/>
    <x v="1"/>
    <x v="6"/>
    <x v="203"/>
    <x v="20"/>
    <x v="0"/>
    <n v="2.2799999999999998"/>
    <n v="0"/>
    <x v="4"/>
    <s v="DOMINIO"/>
    <x v="0"/>
    <m/>
    <m/>
    <n v="40"/>
    <n v="40"/>
    <n v="45"/>
  </r>
  <r>
    <x v="10"/>
    <x v="1"/>
    <x v="6"/>
    <x v="204"/>
    <x v="20"/>
    <x v="0"/>
    <n v="2.7"/>
    <n v="0"/>
    <x v="4"/>
    <s v="DOMINIO"/>
    <x v="0"/>
    <m/>
    <m/>
    <n v="50"/>
    <n v="50"/>
    <n v="56.25"/>
  </r>
  <r>
    <x v="10"/>
    <x v="1"/>
    <x v="6"/>
    <x v="205"/>
    <x v="20"/>
    <x v="0"/>
    <n v="2.44"/>
    <n v="0"/>
    <x v="4"/>
    <s v="DOMINIO"/>
    <x v="0"/>
    <m/>
    <m/>
    <n v="40"/>
    <n v="40"/>
    <n v="45"/>
  </r>
  <r>
    <x v="10"/>
    <x v="1"/>
    <x v="6"/>
    <x v="206"/>
    <x v="20"/>
    <x v="0"/>
    <n v="1.92"/>
    <n v="0"/>
    <x v="4"/>
    <s v="DOMINIO"/>
    <x v="0"/>
    <m/>
    <m/>
    <n v="30"/>
    <n v="30"/>
    <n v="33.75"/>
  </r>
  <r>
    <x v="10"/>
    <x v="1"/>
    <x v="6"/>
    <x v="207"/>
    <x v="20"/>
    <x v="0"/>
    <n v="1.98"/>
    <n v="0"/>
    <x v="4"/>
    <s v="DOMINIO"/>
    <x v="0"/>
    <m/>
    <m/>
    <n v="30"/>
    <n v="30"/>
    <n v="33.75"/>
  </r>
  <r>
    <x v="10"/>
    <x v="1"/>
    <x v="6"/>
    <x v="208"/>
    <x v="20"/>
    <x v="0"/>
    <n v="2.86"/>
    <n v="0"/>
    <x v="4"/>
    <s v="DOMINIO"/>
    <x v="0"/>
    <m/>
    <m/>
    <n v="50"/>
    <n v="50"/>
    <n v="56.25"/>
  </r>
  <r>
    <x v="10"/>
    <x v="1"/>
    <x v="6"/>
    <x v="209"/>
    <x v="20"/>
    <x v="0"/>
    <n v="2.8"/>
    <n v="0"/>
    <x v="4"/>
    <s v="DOMINIO"/>
    <x v="0"/>
    <m/>
    <m/>
    <n v="50"/>
    <n v="50"/>
    <n v="56.25"/>
  </r>
  <r>
    <x v="10"/>
    <x v="2"/>
    <x v="7"/>
    <x v="104"/>
    <x v="6"/>
    <x v="0"/>
    <n v="12.5"/>
    <n v="0"/>
    <x v="4"/>
    <s v="DOMINIO"/>
    <x v="0"/>
    <m/>
    <m/>
    <n v="300"/>
    <n v="300"/>
    <n v="337.5"/>
  </r>
  <r>
    <x v="10"/>
    <x v="2"/>
    <x v="7"/>
    <x v="105"/>
    <x v="6"/>
    <x v="0"/>
    <n v="12.5"/>
    <n v="0"/>
    <x v="4"/>
    <s v="DOMINIO"/>
    <x v="0"/>
    <s v="E - 4 A"/>
    <m/>
    <n v="300"/>
    <n v="300"/>
    <n v="337.5"/>
  </r>
  <r>
    <x v="10"/>
    <x v="2"/>
    <x v="7"/>
    <x v="111"/>
    <x v="6"/>
    <x v="0"/>
    <n v="12.5"/>
    <n v="0"/>
    <x v="4"/>
    <s v="DOMINIO"/>
    <x v="0"/>
    <m/>
    <m/>
    <n v="300"/>
    <n v="300"/>
    <n v="337.5"/>
  </r>
  <r>
    <x v="10"/>
    <x v="2"/>
    <x v="7"/>
    <x v="112"/>
    <x v="6"/>
    <x v="0"/>
    <n v="12.5"/>
    <n v="0"/>
    <x v="4"/>
    <s v="DOMINIO"/>
    <x v="0"/>
    <m/>
    <m/>
    <n v="300"/>
    <n v="300"/>
    <n v="337.5"/>
  </r>
  <r>
    <x v="10"/>
    <x v="2"/>
    <x v="7"/>
    <x v="113"/>
    <x v="6"/>
    <x v="0"/>
    <n v="12.5"/>
    <n v="0"/>
    <x v="4"/>
    <s v="DOMINIO"/>
    <x v="0"/>
    <m/>
    <m/>
    <n v="300"/>
    <n v="300"/>
    <n v="337.5"/>
  </r>
  <r>
    <x v="10"/>
    <x v="2"/>
    <x v="7"/>
    <x v="114"/>
    <x v="6"/>
    <x v="0"/>
    <n v="12.5"/>
    <n v="0"/>
    <x v="4"/>
    <s v="DOMINIO"/>
    <x v="0"/>
    <m/>
    <m/>
    <n v="300"/>
    <n v="300"/>
    <n v="337.5"/>
  </r>
  <r>
    <x v="10"/>
    <x v="2"/>
    <x v="7"/>
    <x v="115"/>
    <x v="6"/>
    <x v="0"/>
    <n v="12.5"/>
    <n v="0"/>
    <x v="4"/>
    <s v="DOMINIO"/>
    <x v="0"/>
    <m/>
    <m/>
    <n v="300"/>
    <n v="300"/>
    <n v="337.5"/>
  </r>
  <r>
    <x v="10"/>
    <x v="2"/>
    <x v="7"/>
    <x v="116"/>
    <x v="6"/>
    <x v="0"/>
    <n v="12.5"/>
    <n v="0"/>
    <x v="4"/>
    <s v="DOMINIO"/>
    <x v="0"/>
    <m/>
    <m/>
    <n v="300"/>
    <n v="300"/>
    <n v="337.5"/>
  </r>
  <r>
    <x v="10"/>
    <x v="2"/>
    <x v="7"/>
    <x v="166"/>
    <x v="6"/>
    <x v="0"/>
    <n v="12.5"/>
    <n v="0"/>
    <x v="4"/>
    <s v="DOMINIO"/>
    <x v="0"/>
    <m/>
    <m/>
    <n v="300"/>
    <n v="300"/>
    <n v="337.5"/>
  </r>
  <r>
    <x v="10"/>
    <x v="2"/>
    <x v="7"/>
    <x v="118"/>
    <x v="6"/>
    <x v="0"/>
    <n v="12.5"/>
    <n v="0"/>
    <x v="4"/>
    <s v="DOMINIO"/>
    <x v="0"/>
    <m/>
    <m/>
    <n v="300"/>
    <n v="300"/>
    <n v="337.5"/>
  </r>
  <r>
    <x v="10"/>
    <x v="2"/>
    <x v="7"/>
    <x v="119"/>
    <x v="6"/>
    <x v="0"/>
    <n v="12.5"/>
    <n v="0"/>
    <x v="4"/>
    <s v="DOMINIO"/>
    <x v="0"/>
    <m/>
    <m/>
    <n v="300"/>
    <n v="300"/>
    <n v="337.5"/>
  </r>
  <r>
    <x v="10"/>
    <x v="2"/>
    <x v="7"/>
    <x v="120"/>
    <x v="6"/>
    <x v="0"/>
    <n v="12.5"/>
    <n v="0"/>
    <x v="4"/>
    <s v="DOMINIO"/>
    <x v="0"/>
    <m/>
    <m/>
    <n v="300"/>
    <n v="300"/>
    <n v="337.5"/>
  </r>
  <r>
    <x v="10"/>
    <x v="2"/>
    <x v="7"/>
    <x v="275"/>
    <x v="6"/>
    <x v="0"/>
    <n v="12.5"/>
    <n v="0"/>
    <x v="4"/>
    <s v="DOMINIO"/>
    <x v="0"/>
    <m/>
    <m/>
    <n v="300"/>
    <n v="300"/>
    <n v="337.5"/>
  </r>
  <r>
    <x v="10"/>
    <x v="2"/>
    <x v="7"/>
    <x v="121"/>
    <x v="6"/>
    <x v="0"/>
    <n v="12.5"/>
    <n v="0"/>
    <x v="4"/>
    <s v="DOMINIO"/>
    <x v="0"/>
    <m/>
    <m/>
    <n v="300"/>
    <n v="300"/>
    <n v="337.5"/>
  </r>
  <r>
    <x v="10"/>
    <x v="2"/>
    <x v="7"/>
    <x v="122"/>
    <x v="6"/>
    <x v="0"/>
    <n v="12.5"/>
    <n v="0"/>
    <x v="4"/>
    <s v="DOMINIO"/>
    <x v="0"/>
    <m/>
    <m/>
    <n v="300"/>
    <n v="300"/>
    <n v="337.5"/>
  </r>
  <r>
    <x v="10"/>
    <x v="2"/>
    <x v="7"/>
    <x v="123"/>
    <x v="6"/>
    <x v="0"/>
    <n v="12.5"/>
    <n v="0"/>
    <x v="4"/>
    <s v="DOMINIO"/>
    <x v="0"/>
    <m/>
    <m/>
    <n v="300"/>
    <n v="300"/>
    <n v="337.5"/>
  </r>
  <r>
    <x v="10"/>
    <x v="2"/>
    <x v="7"/>
    <x v="167"/>
    <x v="6"/>
    <x v="0"/>
    <n v="12.5"/>
    <n v="0"/>
    <x v="4"/>
    <s v="DOMINIO"/>
    <x v="0"/>
    <m/>
    <m/>
    <n v="300"/>
    <n v="300"/>
    <n v="337.5"/>
  </r>
  <r>
    <x v="10"/>
    <x v="2"/>
    <x v="7"/>
    <x v="124"/>
    <x v="6"/>
    <x v="0"/>
    <n v="12.5"/>
    <n v="0"/>
    <x v="4"/>
    <s v="DOMINIO"/>
    <x v="0"/>
    <m/>
    <m/>
    <n v="300"/>
    <n v="300"/>
    <n v="337.5"/>
  </r>
  <r>
    <x v="10"/>
    <x v="2"/>
    <x v="7"/>
    <x v="125"/>
    <x v="6"/>
    <x v="0"/>
    <n v="12.5"/>
    <n v="0"/>
    <x v="4"/>
    <s v="DOMINIO"/>
    <x v="0"/>
    <m/>
    <m/>
    <n v="300"/>
    <n v="300"/>
    <n v="337.5"/>
  </r>
  <r>
    <x v="10"/>
    <x v="2"/>
    <x v="7"/>
    <x v="126"/>
    <x v="6"/>
    <x v="0"/>
    <n v="12.5"/>
    <n v="0"/>
    <x v="4"/>
    <s v="DOMINIO"/>
    <x v="0"/>
    <m/>
    <m/>
    <n v="300"/>
    <n v="300"/>
    <n v="337.5"/>
  </r>
  <r>
    <x v="10"/>
    <x v="2"/>
    <x v="7"/>
    <x v="127"/>
    <x v="6"/>
    <x v="0"/>
    <n v="12.5"/>
    <n v="0"/>
    <x v="4"/>
    <s v="DOMINIO"/>
    <x v="0"/>
    <m/>
    <m/>
    <n v="300"/>
    <n v="300"/>
    <n v="337.5"/>
  </r>
  <r>
    <x v="10"/>
    <x v="2"/>
    <x v="7"/>
    <x v="276"/>
    <x v="6"/>
    <x v="0"/>
    <n v="12.5"/>
    <n v="0"/>
    <x v="4"/>
    <s v="DOMINIO"/>
    <x v="0"/>
    <m/>
    <m/>
    <n v="300"/>
    <n v="300"/>
    <n v="337.5"/>
  </r>
  <r>
    <x v="10"/>
    <x v="2"/>
    <x v="7"/>
    <x v="128"/>
    <x v="6"/>
    <x v="0"/>
    <n v="12.5"/>
    <n v="0"/>
    <x v="4"/>
    <s v="DOMINIO"/>
    <x v="0"/>
    <m/>
    <m/>
    <n v="300"/>
    <n v="300"/>
    <n v="337.5"/>
  </r>
  <r>
    <x v="10"/>
    <x v="2"/>
    <x v="7"/>
    <x v="129"/>
    <x v="6"/>
    <x v="0"/>
    <n v="12.5"/>
    <n v="0"/>
    <x v="4"/>
    <s v="DOMINIO"/>
    <x v="0"/>
    <m/>
    <m/>
    <n v="300"/>
    <n v="300"/>
    <n v="337.5"/>
  </r>
  <r>
    <x v="10"/>
    <x v="2"/>
    <x v="7"/>
    <x v="130"/>
    <x v="6"/>
    <x v="0"/>
    <n v="12.5"/>
    <n v="0"/>
    <x v="4"/>
    <s v="DOMINIO"/>
    <x v="0"/>
    <m/>
    <m/>
    <n v="300"/>
    <n v="300"/>
    <n v="337.5"/>
  </r>
  <r>
    <x v="10"/>
    <x v="2"/>
    <x v="7"/>
    <x v="131"/>
    <x v="6"/>
    <x v="0"/>
    <n v="12.5"/>
    <n v="0"/>
    <x v="4"/>
    <s v="DOMINIO"/>
    <x v="0"/>
    <m/>
    <m/>
    <n v="300"/>
    <n v="300"/>
    <n v="337.5"/>
  </r>
  <r>
    <x v="10"/>
    <x v="2"/>
    <x v="7"/>
    <x v="132"/>
    <x v="6"/>
    <x v="0"/>
    <n v="12.5"/>
    <n v="0"/>
    <x v="4"/>
    <s v="DOMINIO"/>
    <x v="0"/>
    <m/>
    <m/>
    <n v="300"/>
    <n v="300"/>
    <n v="337.5"/>
  </r>
  <r>
    <x v="10"/>
    <x v="2"/>
    <x v="7"/>
    <x v="133"/>
    <x v="6"/>
    <x v="0"/>
    <n v="12.5"/>
    <n v="0"/>
    <x v="4"/>
    <s v="DOMINIO"/>
    <x v="0"/>
    <m/>
    <m/>
    <n v="300"/>
    <n v="300"/>
    <n v="337.5"/>
  </r>
  <r>
    <x v="10"/>
    <x v="2"/>
    <x v="7"/>
    <x v="134"/>
    <x v="6"/>
    <x v="0"/>
    <n v="12.5"/>
    <n v="0"/>
    <x v="4"/>
    <s v="DOMINIO"/>
    <x v="0"/>
    <m/>
    <m/>
    <n v="300"/>
    <n v="300"/>
    <n v="337.5"/>
  </r>
  <r>
    <x v="10"/>
    <x v="2"/>
    <x v="7"/>
    <x v="135"/>
    <x v="6"/>
    <x v="0"/>
    <n v="12.5"/>
    <n v="0"/>
    <x v="4"/>
    <s v="DOMINIO"/>
    <x v="0"/>
    <m/>
    <m/>
    <n v="300"/>
    <n v="300"/>
    <n v="337.5"/>
  </r>
  <r>
    <x v="10"/>
    <x v="2"/>
    <x v="7"/>
    <x v="137"/>
    <x v="6"/>
    <x v="0"/>
    <n v="12.5"/>
    <n v="0"/>
    <x v="4"/>
    <s v="DOMINIO"/>
    <x v="0"/>
    <m/>
    <m/>
    <n v="300"/>
    <n v="300"/>
    <n v="337.5"/>
  </r>
  <r>
    <x v="10"/>
    <x v="2"/>
    <x v="7"/>
    <x v="144"/>
    <x v="6"/>
    <x v="0"/>
    <n v="12.5"/>
    <n v="0"/>
    <x v="4"/>
    <s v="DOMINIO"/>
    <x v="0"/>
    <m/>
    <m/>
    <n v="300"/>
    <n v="300"/>
    <n v="337.5"/>
  </r>
  <r>
    <x v="10"/>
    <x v="2"/>
    <x v="7"/>
    <x v="145"/>
    <x v="6"/>
    <x v="0"/>
    <n v="12.5"/>
    <n v="0"/>
    <x v="4"/>
    <s v="DOMINIO"/>
    <x v="0"/>
    <m/>
    <m/>
    <n v="300"/>
    <n v="300"/>
    <n v="337.5"/>
  </r>
  <r>
    <x v="10"/>
    <x v="2"/>
    <x v="7"/>
    <x v="146"/>
    <x v="6"/>
    <x v="0"/>
    <n v="12.5"/>
    <n v="0"/>
    <x v="4"/>
    <s v="DOMINIO"/>
    <x v="0"/>
    <m/>
    <m/>
    <n v="300"/>
    <n v="300"/>
    <n v="337.5"/>
  </r>
  <r>
    <x v="10"/>
    <x v="2"/>
    <x v="7"/>
    <x v="168"/>
    <x v="6"/>
    <x v="0"/>
    <n v="12.5"/>
    <n v="0"/>
    <x v="4"/>
    <s v="DOMINIO"/>
    <x v="0"/>
    <m/>
    <m/>
    <n v="300"/>
    <n v="300"/>
    <n v="337.5"/>
  </r>
  <r>
    <x v="10"/>
    <x v="2"/>
    <x v="7"/>
    <x v="397"/>
    <x v="6"/>
    <x v="0"/>
    <n v="12.5"/>
    <n v="0"/>
    <x v="4"/>
    <s v="DOMINIO"/>
    <x v="0"/>
    <m/>
    <m/>
    <n v="300"/>
    <n v="300"/>
    <n v="337.5"/>
  </r>
  <r>
    <x v="10"/>
    <x v="2"/>
    <x v="7"/>
    <x v="169"/>
    <x v="6"/>
    <x v="0"/>
    <n v="12.5"/>
    <n v="0"/>
    <x v="4"/>
    <s v="DOMINIO"/>
    <x v="0"/>
    <m/>
    <m/>
    <n v="300"/>
    <n v="300"/>
    <n v="337.5"/>
  </r>
  <r>
    <x v="10"/>
    <x v="2"/>
    <x v="7"/>
    <x v="170"/>
    <x v="6"/>
    <x v="0"/>
    <n v="12.5"/>
    <n v="0"/>
    <x v="4"/>
    <s v="DOMINIO"/>
    <x v="0"/>
    <m/>
    <m/>
    <n v="300"/>
    <n v="300"/>
    <n v="337.5"/>
  </r>
  <r>
    <x v="10"/>
    <x v="2"/>
    <x v="7"/>
    <x v="398"/>
    <x v="6"/>
    <x v="0"/>
    <n v="12.5"/>
    <n v="0"/>
    <x v="4"/>
    <s v="DOMINIO"/>
    <x v="0"/>
    <s v="B - 19 A"/>
    <m/>
    <n v="300"/>
    <n v="300"/>
    <n v="337.5"/>
  </r>
  <r>
    <x v="10"/>
    <x v="2"/>
    <x v="7"/>
    <x v="171"/>
    <x v="6"/>
    <x v="0"/>
    <n v="12.5"/>
    <n v="0"/>
    <x v="4"/>
    <s v="DOMINIO"/>
    <x v="0"/>
    <s v="B - 18 A"/>
    <m/>
    <n v="300"/>
    <n v="300"/>
    <n v="337.5"/>
  </r>
  <r>
    <x v="10"/>
    <x v="2"/>
    <x v="7"/>
    <x v="399"/>
    <x v="6"/>
    <x v="0"/>
    <n v="12.5"/>
    <n v="0"/>
    <x v="4"/>
    <s v="DOMINIO"/>
    <x v="0"/>
    <m/>
    <m/>
    <n v="300"/>
    <n v="300"/>
    <n v="337.5"/>
  </r>
  <r>
    <x v="10"/>
    <x v="2"/>
    <x v="7"/>
    <x v="172"/>
    <x v="6"/>
    <x v="0"/>
    <n v="12.5"/>
    <n v="0"/>
    <x v="4"/>
    <s v="DOMINIO"/>
    <x v="0"/>
    <m/>
    <m/>
    <n v="300"/>
    <n v="300"/>
    <n v="337.5"/>
  </r>
  <r>
    <x v="10"/>
    <x v="2"/>
    <x v="7"/>
    <x v="147"/>
    <x v="6"/>
    <x v="0"/>
    <n v="12.5"/>
    <n v="0"/>
    <x v="4"/>
    <s v="DOMINIO"/>
    <x v="0"/>
    <s v="B - 16 A"/>
    <m/>
    <n v="300"/>
    <n v="300"/>
    <n v="337.5"/>
  </r>
  <r>
    <x v="10"/>
    <x v="2"/>
    <x v="7"/>
    <x v="173"/>
    <x v="6"/>
    <x v="0"/>
    <n v="12.5"/>
    <n v="0"/>
    <x v="4"/>
    <s v="DOMINIO"/>
    <x v="0"/>
    <m/>
    <m/>
    <n v="300"/>
    <n v="300"/>
    <n v="337.5"/>
  </r>
  <r>
    <x v="10"/>
    <x v="2"/>
    <x v="7"/>
    <x v="174"/>
    <x v="6"/>
    <x v="0"/>
    <n v="12.5"/>
    <n v="0"/>
    <x v="4"/>
    <s v="DOMINIO"/>
    <x v="0"/>
    <s v="B - 15 A"/>
    <m/>
    <n v="300"/>
    <n v="300"/>
    <n v="337.5"/>
  </r>
  <r>
    <x v="10"/>
    <x v="2"/>
    <x v="7"/>
    <x v="148"/>
    <x v="6"/>
    <x v="0"/>
    <n v="12.5"/>
    <n v="0"/>
    <x v="4"/>
    <s v="DOMINIO"/>
    <x v="0"/>
    <m/>
    <m/>
    <n v="300"/>
    <n v="300"/>
    <n v="337.5"/>
  </r>
  <r>
    <x v="10"/>
    <x v="2"/>
    <x v="7"/>
    <x v="149"/>
    <x v="6"/>
    <x v="0"/>
    <n v="12.5"/>
    <n v="0"/>
    <x v="4"/>
    <s v="DOMINIO"/>
    <x v="0"/>
    <s v="B - 13 A"/>
    <m/>
    <n v="300"/>
    <n v="300"/>
    <n v="337.5"/>
  </r>
  <r>
    <x v="10"/>
    <x v="2"/>
    <x v="7"/>
    <x v="175"/>
    <x v="6"/>
    <x v="0"/>
    <n v="12.5"/>
    <n v="0"/>
    <x v="4"/>
    <s v="DOMINIO"/>
    <x v="0"/>
    <s v="B - 12 A"/>
    <m/>
    <n v="300"/>
    <n v="300"/>
    <n v="337.5"/>
  </r>
  <r>
    <x v="10"/>
    <x v="2"/>
    <x v="7"/>
    <x v="150"/>
    <x v="6"/>
    <x v="0"/>
    <n v="12.5"/>
    <n v="0"/>
    <x v="4"/>
    <s v="DOMINIO"/>
    <x v="0"/>
    <s v="B - 11 A"/>
    <m/>
    <n v="300"/>
    <n v="300"/>
    <n v="337.5"/>
  </r>
  <r>
    <x v="10"/>
    <x v="2"/>
    <x v="7"/>
    <x v="176"/>
    <x v="6"/>
    <x v="0"/>
    <n v="12.5"/>
    <n v="0"/>
    <x v="4"/>
    <s v="DOMINIO"/>
    <x v="0"/>
    <s v="B - 10 A"/>
    <m/>
    <n v="300"/>
    <n v="300"/>
    <n v="337.5"/>
  </r>
  <r>
    <x v="10"/>
    <x v="2"/>
    <x v="7"/>
    <x v="152"/>
    <x v="6"/>
    <x v="0"/>
    <n v="12.5"/>
    <n v="0"/>
    <x v="4"/>
    <s v="DOMINIO"/>
    <x v="0"/>
    <s v="B - 8 A"/>
    <m/>
    <n v="300"/>
    <n v="300"/>
    <n v="337.5"/>
  </r>
  <r>
    <x v="10"/>
    <x v="2"/>
    <x v="7"/>
    <x v="153"/>
    <x v="6"/>
    <x v="0"/>
    <n v="12.5"/>
    <n v="0"/>
    <x v="4"/>
    <s v="DOMINIO"/>
    <x v="0"/>
    <m/>
    <m/>
    <n v="300"/>
    <n v="300"/>
    <n v="337.5"/>
  </r>
  <r>
    <x v="10"/>
    <x v="2"/>
    <x v="7"/>
    <x v="155"/>
    <x v="6"/>
    <x v="0"/>
    <n v="12.5"/>
    <n v="0"/>
    <x v="4"/>
    <s v="DOMINIO"/>
    <x v="0"/>
    <s v="B - 7 A"/>
    <m/>
    <n v="300"/>
    <n v="300"/>
    <n v="337.5"/>
  </r>
  <r>
    <x v="10"/>
    <x v="2"/>
    <x v="7"/>
    <x v="177"/>
    <x v="6"/>
    <x v="0"/>
    <n v="12.5"/>
    <n v="0"/>
    <x v="4"/>
    <s v="DOMINIO"/>
    <x v="0"/>
    <m/>
    <m/>
    <n v="300"/>
    <n v="300"/>
    <n v="337.5"/>
  </r>
  <r>
    <x v="10"/>
    <x v="2"/>
    <x v="7"/>
    <x v="157"/>
    <x v="6"/>
    <x v="0"/>
    <n v="12.5"/>
    <n v="0"/>
    <x v="4"/>
    <s v="DOMINIO"/>
    <x v="0"/>
    <m/>
    <m/>
    <n v="300"/>
    <n v="300"/>
    <n v="337.5"/>
  </r>
  <r>
    <x v="10"/>
    <x v="2"/>
    <x v="7"/>
    <x v="158"/>
    <x v="6"/>
    <x v="0"/>
    <n v="12.5"/>
    <n v="0"/>
    <x v="4"/>
    <s v="DOMINIO"/>
    <x v="0"/>
    <m/>
    <m/>
    <n v="300"/>
    <n v="300"/>
    <n v="337.5"/>
  </r>
  <r>
    <x v="10"/>
    <x v="2"/>
    <x v="7"/>
    <x v="159"/>
    <x v="6"/>
    <x v="0"/>
    <n v="12.5"/>
    <n v="0"/>
    <x v="4"/>
    <s v="DOMINIO"/>
    <x v="0"/>
    <m/>
    <m/>
    <n v="300"/>
    <n v="300"/>
    <n v="337.5"/>
  </r>
  <r>
    <x v="10"/>
    <x v="2"/>
    <x v="7"/>
    <x v="160"/>
    <x v="6"/>
    <x v="0"/>
    <n v="12.5"/>
    <n v="0"/>
    <x v="4"/>
    <s v="DOMINIO"/>
    <x v="0"/>
    <m/>
    <m/>
    <n v="300"/>
    <n v="300"/>
    <n v="337.5"/>
  </r>
  <r>
    <x v="10"/>
    <x v="2"/>
    <x v="7"/>
    <x v="161"/>
    <x v="6"/>
    <x v="0"/>
    <n v="12.5"/>
    <n v="0"/>
    <x v="4"/>
    <s v="DOMINIO"/>
    <x v="0"/>
    <m/>
    <m/>
    <n v="300"/>
    <n v="300"/>
    <n v="337.5"/>
  </r>
  <r>
    <x v="10"/>
    <x v="2"/>
    <x v="7"/>
    <x v="162"/>
    <x v="6"/>
    <x v="0"/>
    <n v="12.5"/>
    <n v="0"/>
    <x v="4"/>
    <s v="DOMINIO"/>
    <x v="0"/>
    <m/>
    <m/>
    <n v="300"/>
    <n v="300"/>
    <n v="337.5"/>
  </r>
  <r>
    <x v="10"/>
    <x v="2"/>
    <x v="7"/>
    <x v="163"/>
    <x v="6"/>
    <x v="0"/>
    <n v="12.5"/>
    <n v="0"/>
    <x v="4"/>
    <s v="DOMINIO"/>
    <x v="0"/>
    <s v="B - 6 A"/>
    <m/>
    <n v="300"/>
    <n v="300"/>
    <n v="337.5"/>
  </r>
  <r>
    <x v="10"/>
    <x v="2"/>
    <x v="7"/>
    <x v="164"/>
    <x v="6"/>
    <x v="0"/>
    <n v="12.5"/>
    <n v="0"/>
    <x v="4"/>
    <s v="DOMINIO"/>
    <x v="0"/>
    <s v="B - 3 A"/>
    <m/>
    <n v="300"/>
    <n v="300"/>
    <n v="337.5"/>
  </r>
  <r>
    <x v="10"/>
    <x v="2"/>
    <x v="7"/>
    <x v="178"/>
    <x v="6"/>
    <x v="0"/>
    <n v="12.5"/>
    <n v="0"/>
    <x v="4"/>
    <s v="DOMINIO"/>
    <x v="0"/>
    <m/>
    <m/>
    <n v="300"/>
    <n v="300"/>
    <n v="337.5"/>
  </r>
  <r>
    <x v="10"/>
    <x v="2"/>
    <x v="7"/>
    <x v="534"/>
    <x v="6"/>
    <x v="0"/>
    <n v="12.5"/>
    <n v="0"/>
    <x v="4"/>
    <s v="DOMINIO"/>
    <x v="0"/>
    <m/>
    <m/>
    <n v="300"/>
    <n v="300"/>
    <n v="337.5"/>
  </r>
  <r>
    <x v="10"/>
    <x v="2"/>
    <x v="7"/>
    <x v="179"/>
    <x v="6"/>
    <x v="0"/>
    <n v="12.5"/>
    <n v="0"/>
    <x v="4"/>
    <s v="DOMINIO"/>
    <x v="0"/>
    <m/>
    <m/>
    <n v="300"/>
    <n v="300"/>
    <n v="337.5"/>
  </r>
  <r>
    <x v="10"/>
    <x v="2"/>
    <x v="7"/>
    <x v="535"/>
    <x v="6"/>
    <x v="0"/>
    <n v="12.5"/>
    <n v="0"/>
    <x v="4"/>
    <s v="DOMINIO"/>
    <x v="0"/>
    <m/>
    <m/>
    <n v="300"/>
    <n v="300"/>
    <n v="337.5"/>
  </r>
  <r>
    <x v="10"/>
    <x v="2"/>
    <x v="7"/>
    <x v="417"/>
    <x v="6"/>
    <x v="0"/>
    <n v="12.5"/>
    <n v="0"/>
    <x v="4"/>
    <s v="DOMINIO"/>
    <x v="0"/>
    <m/>
    <m/>
    <n v="300"/>
    <n v="300"/>
    <n v="337.5"/>
  </r>
  <r>
    <x v="10"/>
    <x v="2"/>
    <x v="7"/>
    <x v="180"/>
    <x v="6"/>
    <x v="0"/>
    <n v="12.5"/>
    <n v="0"/>
    <x v="4"/>
    <s v="DOMINIO"/>
    <x v="0"/>
    <m/>
    <m/>
    <n v="300"/>
    <n v="300"/>
    <n v="337.5"/>
  </r>
  <r>
    <x v="10"/>
    <x v="2"/>
    <x v="7"/>
    <x v="181"/>
    <x v="6"/>
    <x v="0"/>
    <n v="12.5"/>
    <n v="0"/>
    <x v="4"/>
    <s v="DOMINIO"/>
    <x v="0"/>
    <m/>
    <m/>
    <n v="300"/>
    <n v="300"/>
    <n v="337.5"/>
  </r>
  <r>
    <x v="10"/>
    <x v="2"/>
    <x v="7"/>
    <x v="182"/>
    <x v="6"/>
    <x v="0"/>
    <n v="12.5"/>
    <n v="0"/>
    <x v="4"/>
    <s v="DOMINIO"/>
    <x v="0"/>
    <m/>
    <m/>
    <n v="300"/>
    <n v="300"/>
    <n v="337.5"/>
  </r>
  <r>
    <x v="10"/>
    <x v="2"/>
    <x v="7"/>
    <x v="183"/>
    <x v="6"/>
    <x v="0"/>
    <n v="12.5"/>
    <n v="0"/>
    <x v="4"/>
    <s v="DOMINIO"/>
    <x v="0"/>
    <s v="B - 2 A"/>
    <m/>
    <n v="300"/>
    <n v="300"/>
    <n v="337.5"/>
  </r>
  <r>
    <x v="10"/>
    <x v="2"/>
    <x v="7"/>
    <x v="184"/>
    <x v="20"/>
    <x v="0"/>
    <n v="12.5"/>
    <n v="0"/>
    <x v="4"/>
    <s v="DOMINIO"/>
    <x v="0"/>
    <s v="B - 46 A"/>
    <m/>
    <n v="300"/>
    <n v="300"/>
    <n v="337.5"/>
  </r>
  <r>
    <x v="10"/>
    <x v="2"/>
    <x v="7"/>
    <x v="187"/>
    <x v="20"/>
    <x v="0"/>
    <n v="12.5"/>
    <n v="0"/>
    <x v="4"/>
    <s v="DOMINIO"/>
    <x v="0"/>
    <m/>
    <m/>
    <n v="300"/>
    <n v="300"/>
    <n v="337.5"/>
  </r>
  <r>
    <x v="10"/>
    <x v="2"/>
    <x v="7"/>
    <x v="188"/>
    <x v="20"/>
    <x v="0"/>
    <n v="12.5"/>
    <n v="0"/>
    <x v="4"/>
    <s v="DOMINIO"/>
    <x v="0"/>
    <s v="B - 49 A"/>
    <m/>
    <n v="300"/>
    <n v="300"/>
    <n v="337.5"/>
  </r>
  <r>
    <x v="10"/>
    <x v="2"/>
    <x v="7"/>
    <x v="189"/>
    <x v="20"/>
    <x v="0"/>
    <n v="12.5"/>
    <n v="0"/>
    <x v="4"/>
    <s v="DOMINIO"/>
    <x v="0"/>
    <m/>
    <m/>
    <n v="300"/>
    <n v="300"/>
    <n v="337.5"/>
  </r>
  <r>
    <x v="10"/>
    <x v="2"/>
    <x v="7"/>
    <x v="190"/>
    <x v="20"/>
    <x v="0"/>
    <n v="12.5"/>
    <n v="0"/>
    <x v="4"/>
    <s v="DOMINIO"/>
    <x v="0"/>
    <s v="B - 50 A"/>
    <m/>
    <n v="300"/>
    <n v="300"/>
    <n v="337.5"/>
  </r>
  <r>
    <x v="10"/>
    <x v="2"/>
    <x v="7"/>
    <x v="193"/>
    <x v="20"/>
    <x v="0"/>
    <n v="12.5"/>
    <n v="0"/>
    <x v="4"/>
    <s v="DOMINIO"/>
    <x v="0"/>
    <s v="B - 53 A"/>
    <m/>
    <n v="300"/>
    <n v="300"/>
    <n v="337.5"/>
  </r>
  <r>
    <x v="10"/>
    <x v="2"/>
    <x v="7"/>
    <x v="194"/>
    <x v="20"/>
    <x v="0"/>
    <n v="12.5"/>
    <n v="0"/>
    <x v="4"/>
    <s v="DOMINIO"/>
    <x v="0"/>
    <s v="B - 54 A"/>
    <m/>
    <n v="300"/>
    <n v="300"/>
    <n v="337.5"/>
  </r>
  <r>
    <x v="10"/>
    <x v="2"/>
    <x v="7"/>
    <x v="195"/>
    <x v="20"/>
    <x v="0"/>
    <n v="12.5"/>
    <n v="0"/>
    <x v="4"/>
    <s v="DOMINIO"/>
    <x v="0"/>
    <m/>
    <m/>
    <n v="300"/>
    <n v="300"/>
    <n v="337.5"/>
  </r>
  <r>
    <x v="10"/>
    <x v="2"/>
    <x v="7"/>
    <x v="196"/>
    <x v="20"/>
    <x v="0"/>
    <n v="12.5"/>
    <n v="0"/>
    <x v="4"/>
    <s v="DOMINIO"/>
    <x v="0"/>
    <s v="B - 57 A"/>
    <m/>
    <n v="300"/>
    <n v="300"/>
    <n v="337.5"/>
  </r>
  <r>
    <x v="10"/>
    <x v="2"/>
    <x v="7"/>
    <x v="197"/>
    <x v="20"/>
    <x v="0"/>
    <n v="12.5"/>
    <n v="0"/>
    <x v="4"/>
    <s v="DOMINIO"/>
    <x v="0"/>
    <m/>
    <m/>
    <n v="300"/>
    <n v="300"/>
    <n v="337.5"/>
  </r>
  <r>
    <x v="10"/>
    <x v="2"/>
    <x v="7"/>
    <x v="198"/>
    <x v="20"/>
    <x v="0"/>
    <n v="12.5"/>
    <n v="0"/>
    <x v="4"/>
    <s v="DOMINIO"/>
    <x v="0"/>
    <m/>
    <m/>
    <n v="300"/>
    <n v="300"/>
    <n v="337.5"/>
  </r>
  <r>
    <x v="10"/>
    <x v="2"/>
    <x v="7"/>
    <x v="199"/>
    <x v="20"/>
    <x v="0"/>
    <n v="12.5"/>
    <n v="0"/>
    <x v="4"/>
    <s v="DOMINIO"/>
    <x v="0"/>
    <s v="B - 58 A"/>
    <m/>
    <n v="300"/>
    <n v="300"/>
    <n v="337.5"/>
  </r>
  <r>
    <x v="10"/>
    <x v="2"/>
    <x v="7"/>
    <x v="200"/>
    <x v="20"/>
    <x v="0"/>
    <n v="12.5"/>
    <n v="0"/>
    <x v="4"/>
    <s v="DOMINIO"/>
    <x v="0"/>
    <m/>
    <m/>
    <n v="300"/>
    <n v="300"/>
    <n v="337.5"/>
  </r>
  <r>
    <x v="10"/>
    <x v="2"/>
    <x v="7"/>
    <x v="204"/>
    <x v="20"/>
    <x v="0"/>
    <n v="12.5"/>
    <n v="0"/>
    <x v="4"/>
    <s v="DOMINIO"/>
    <x v="0"/>
    <m/>
    <m/>
    <n v="300"/>
    <n v="300"/>
    <n v="337.5"/>
  </r>
  <r>
    <x v="10"/>
    <x v="2"/>
    <x v="7"/>
    <x v="205"/>
    <x v="20"/>
    <x v="0"/>
    <n v="12.5"/>
    <n v="0"/>
    <x v="4"/>
    <s v="DOMINIO"/>
    <x v="0"/>
    <m/>
    <m/>
    <n v="300"/>
    <n v="300"/>
    <n v="337.5"/>
  </r>
  <r>
    <x v="10"/>
    <x v="2"/>
    <x v="7"/>
    <x v="210"/>
    <x v="20"/>
    <x v="0"/>
    <n v="12.5"/>
    <n v="0"/>
    <x v="4"/>
    <s v="DOMINIO"/>
    <x v="0"/>
    <m/>
    <m/>
    <n v="300"/>
    <n v="300"/>
    <n v="337.5"/>
  </r>
  <r>
    <x v="10"/>
    <x v="2"/>
    <x v="7"/>
    <x v="211"/>
    <x v="20"/>
    <x v="0"/>
    <n v="12.5"/>
    <n v="0"/>
    <x v="4"/>
    <s v="DOMINIO"/>
    <x v="0"/>
    <m/>
    <m/>
    <n v="300"/>
    <n v="300"/>
    <n v="337.5"/>
  </r>
  <r>
    <x v="10"/>
    <x v="2"/>
    <x v="7"/>
    <x v="212"/>
    <x v="20"/>
    <x v="0"/>
    <n v="12.5"/>
    <n v="0"/>
    <x v="4"/>
    <s v="DOMINIO"/>
    <x v="0"/>
    <m/>
    <m/>
    <n v="300"/>
    <n v="300"/>
    <n v="337.5"/>
  </r>
  <r>
    <x v="10"/>
    <x v="2"/>
    <x v="7"/>
    <x v="213"/>
    <x v="20"/>
    <x v="0"/>
    <n v="12.5"/>
    <n v="0"/>
    <x v="4"/>
    <s v="DOMINIO"/>
    <x v="0"/>
    <m/>
    <m/>
    <n v="300"/>
    <n v="300"/>
    <n v="337.5"/>
  </r>
  <r>
    <x v="10"/>
    <x v="2"/>
    <x v="7"/>
    <x v="215"/>
    <x v="20"/>
    <x v="0"/>
    <n v="12.5"/>
    <n v="0"/>
    <x v="4"/>
    <s v="DOMINIO"/>
    <x v="0"/>
    <m/>
    <m/>
    <n v="300"/>
    <n v="300"/>
    <n v="337.5"/>
  </r>
  <r>
    <x v="10"/>
    <x v="2"/>
    <x v="7"/>
    <x v="216"/>
    <x v="20"/>
    <x v="0"/>
    <n v="12.5"/>
    <n v="0"/>
    <x v="4"/>
    <s v="DOMINIO"/>
    <x v="0"/>
    <m/>
    <m/>
    <n v="300"/>
    <n v="300"/>
    <n v="337.5"/>
  </r>
  <r>
    <x v="10"/>
    <x v="2"/>
    <x v="7"/>
    <x v="217"/>
    <x v="20"/>
    <x v="0"/>
    <n v="12.5"/>
    <n v="0"/>
    <x v="4"/>
    <s v="DOMINIO"/>
    <x v="0"/>
    <m/>
    <m/>
    <n v="300"/>
    <n v="300"/>
    <n v="337.5"/>
  </r>
  <r>
    <x v="10"/>
    <x v="2"/>
    <x v="7"/>
    <x v="218"/>
    <x v="20"/>
    <x v="0"/>
    <n v="12.5"/>
    <n v="0"/>
    <x v="4"/>
    <s v="DOMINIO"/>
    <x v="0"/>
    <s v="B - 63 A"/>
    <m/>
    <n v="300"/>
    <n v="300"/>
    <n v="337.5"/>
  </r>
  <r>
    <x v="10"/>
    <x v="2"/>
    <x v="7"/>
    <x v="219"/>
    <x v="20"/>
    <x v="0"/>
    <n v="12.5"/>
    <n v="0"/>
    <x v="4"/>
    <s v="DOMINIO"/>
    <x v="0"/>
    <s v="B - 69 A"/>
    <m/>
    <n v="300"/>
    <n v="300"/>
    <n v="337.5"/>
  </r>
  <r>
    <x v="10"/>
    <x v="2"/>
    <x v="7"/>
    <x v="220"/>
    <x v="20"/>
    <x v="0"/>
    <n v="12.5"/>
    <n v="0"/>
    <x v="4"/>
    <s v="DOMINIO"/>
    <x v="0"/>
    <s v="B - 70 A"/>
    <m/>
    <n v="300"/>
    <n v="300"/>
    <n v="337.5"/>
  </r>
  <r>
    <x v="10"/>
    <x v="2"/>
    <x v="7"/>
    <x v="223"/>
    <x v="20"/>
    <x v="0"/>
    <n v="12.5"/>
    <n v="0"/>
    <x v="4"/>
    <s v="DOMINIO"/>
    <x v="0"/>
    <m/>
    <m/>
    <n v="300"/>
    <n v="300"/>
    <n v="337.5"/>
  </r>
  <r>
    <x v="10"/>
    <x v="2"/>
    <x v="7"/>
    <x v="224"/>
    <x v="20"/>
    <x v="0"/>
    <n v="12.5"/>
    <n v="0"/>
    <x v="4"/>
    <s v="DOMINIO"/>
    <x v="0"/>
    <m/>
    <m/>
    <n v="300"/>
    <n v="300"/>
    <n v="337.5"/>
  </r>
  <r>
    <x v="10"/>
    <x v="2"/>
    <x v="7"/>
    <x v="225"/>
    <x v="20"/>
    <x v="0"/>
    <n v="12.5"/>
    <n v="0"/>
    <x v="4"/>
    <s v="DOMINIO"/>
    <x v="0"/>
    <m/>
    <m/>
    <n v="300"/>
    <n v="300"/>
    <n v="337.5"/>
  </r>
  <r>
    <x v="10"/>
    <x v="2"/>
    <x v="7"/>
    <x v="226"/>
    <x v="20"/>
    <x v="0"/>
    <n v="12.5"/>
    <n v="0"/>
    <x v="4"/>
    <s v="DOMINIO"/>
    <x v="0"/>
    <m/>
    <m/>
    <n v="300"/>
    <n v="300"/>
    <n v="337.5"/>
  </r>
  <r>
    <x v="10"/>
    <x v="2"/>
    <x v="7"/>
    <x v="227"/>
    <x v="20"/>
    <x v="0"/>
    <n v="12.5"/>
    <n v="0"/>
    <x v="4"/>
    <s v="DOMINIO"/>
    <x v="0"/>
    <m/>
    <m/>
    <n v="300"/>
    <n v="300"/>
    <n v="337.5"/>
  </r>
  <r>
    <x v="10"/>
    <x v="2"/>
    <x v="7"/>
    <x v="228"/>
    <x v="20"/>
    <x v="0"/>
    <n v="12.5"/>
    <n v="0"/>
    <x v="4"/>
    <s v="DOMINIO"/>
    <x v="0"/>
    <m/>
    <m/>
    <n v="300"/>
    <n v="300"/>
    <n v="337.5"/>
  </r>
  <r>
    <x v="10"/>
    <x v="2"/>
    <x v="7"/>
    <x v="582"/>
    <x v="20"/>
    <x v="0"/>
    <n v="12.5"/>
    <n v="0"/>
    <x v="4"/>
    <s v="DOMINIO"/>
    <x v="0"/>
    <m/>
    <m/>
    <n v="300"/>
    <n v="300"/>
    <n v="337.5"/>
  </r>
  <r>
    <x v="10"/>
    <x v="2"/>
    <x v="7"/>
    <x v="583"/>
    <x v="20"/>
    <x v="0"/>
    <n v="12.5"/>
    <n v="0"/>
    <x v="4"/>
    <s v="DOMINIO"/>
    <x v="0"/>
    <m/>
    <m/>
    <n v="300"/>
    <n v="300"/>
    <n v="337.5"/>
  </r>
  <r>
    <x v="10"/>
    <x v="2"/>
    <x v="7"/>
    <x v="584"/>
    <x v="20"/>
    <x v="0"/>
    <n v="12.5"/>
    <n v="0"/>
    <x v="4"/>
    <s v="DOMINIO"/>
    <x v="0"/>
    <m/>
    <m/>
    <n v="300"/>
    <n v="300"/>
    <n v="337.5"/>
  </r>
  <r>
    <x v="10"/>
    <x v="2"/>
    <x v="7"/>
    <x v="585"/>
    <x v="20"/>
    <x v="0"/>
    <n v="12.5"/>
    <n v="0"/>
    <x v="4"/>
    <s v="DOMINIO"/>
    <x v="0"/>
    <m/>
    <m/>
    <n v="300"/>
    <n v="300"/>
    <n v="337.5"/>
  </r>
  <r>
    <x v="10"/>
    <x v="2"/>
    <x v="7"/>
    <x v="418"/>
    <x v="20"/>
    <x v="0"/>
    <n v="12.5"/>
    <n v="0"/>
    <x v="4"/>
    <s v="DOMINIO"/>
    <x v="0"/>
    <m/>
    <m/>
    <n v="300"/>
    <n v="300"/>
    <n v="337.5"/>
  </r>
  <r>
    <x v="10"/>
    <x v="2"/>
    <x v="7"/>
    <x v="419"/>
    <x v="20"/>
    <x v="0"/>
    <n v="12.5"/>
    <n v="0"/>
    <x v="4"/>
    <s v="DOMINIO"/>
    <x v="0"/>
    <m/>
    <m/>
    <n v="300"/>
    <n v="300"/>
    <n v="337.5"/>
  </r>
  <r>
    <x v="10"/>
    <x v="2"/>
    <x v="7"/>
    <x v="420"/>
    <x v="20"/>
    <x v="0"/>
    <n v="12.5"/>
    <n v="0"/>
    <x v="4"/>
    <s v="DOMINIO"/>
    <x v="0"/>
    <m/>
    <m/>
    <n v="300"/>
    <n v="300"/>
    <n v="337.5"/>
  </r>
  <r>
    <x v="10"/>
    <x v="2"/>
    <x v="7"/>
    <x v="586"/>
    <x v="20"/>
    <x v="0"/>
    <n v="12.5"/>
    <n v="0"/>
    <x v="4"/>
    <s v="DOMINIO"/>
    <x v="0"/>
    <m/>
    <m/>
    <n v="300"/>
    <n v="300"/>
    <n v="337.5"/>
  </r>
  <r>
    <x v="10"/>
    <x v="2"/>
    <x v="7"/>
    <x v="587"/>
    <x v="20"/>
    <x v="0"/>
    <n v="12.5"/>
    <n v="0"/>
    <x v="4"/>
    <s v="DOMINIO"/>
    <x v="0"/>
    <m/>
    <m/>
    <n v="300"/>
    <n v="300"/>
    <n v="337.5"/>
  </r>
  <r>
    <x v="10"/>
    <x v="2"/>
    <x v="7"/>
    <x v="421"/>
    <x v="20"/>
    <x v="0"/>
    <n v="12.5"/>
    <n v="0"/>
    <x v="4"/>
    <s v="DOMINIO"/>
    <x v="0"/>
    <m/>
    <m/>
    <n v="300"/>
    <n v="300"/>
    <n v="337.5"/>
  </r>
  <r>
    <x v="10"/>
    <x v="2"/>
    <x v="7"/>
    <x v="588"/>
    <x v="20"/>
    <x v="0"/>
    <n v="12.5"/>
    <n v="0"/>
    <x v="4"/>
    <s v="DOMINIO"/>
    <x v="0"/>
    <m/>
    <m/>
    <n v="300"/>
    <n v="300"/>
    <n v="337.5"/>
  </r>
  <r>
    <x v="10"/>
    <x v="2"/>
    <x v="7"/>
    <x v="589"/>
    <x v="20"/>
    <x v="0"/>
    <n v="12.5"/>
    <n v="0"/>
    <x v="4"/>
    <s v="DOMINIO"/>
    <x v="0"/>
    <m/>
    <m/>
    <n v="300"/>
    <n v="300"/>
    <n v="337.5"/>
  </r>
  <r>
    <x v="10"/>
    <x v="2"/>
    <x v="7"/>
    <x v="634"/>
    <x v="20"/>
    <x v="0"/>
    <n v="12.5"/>
    <n v="0"/>
    <x v="4"/>
    <s v="DOMINIO"/>
    <x v="0"/>
    <m/>
    <m/>
    <n v="300"/>
    <n v="300"/>
    <n v="337.5"/>
  </r>
  <r>
    <x v="10"/>
    <x v="2"/>
    <x v="7"/>
    <x v="635"/>
    <x v="20"/>
    <x v="0"/>
    <n v="12.5"/>
    <n v="0"/>
    <x v="4"/>
    <s v="DOMINIO"/>
    <x v="0"/>
    <m/>
    <m/>
    <n v="300"/>
    <n v="300"/>
    <n v="337.5"/>
  </r>
  <r>
    <x v="10"/>
    <x v="2"/>
    <x v="7"/>
    <x v="636"/>
    <x v="20"/>
    <x v="0"/>
    <n v="12.5"/>
    <n v="0"/>
    <x v="4"/>
    <s v="DOMINIO"/>
    <x v="0"/>
    <m/>
    <m/>
    <n v="300"/>
    <n v="300"/>
    <n v="337.5"/>
  </r>
  <r>
    <x v="10"/>
    <x v="2"/>
    <x v="7"/>
    <x v="637"/>
    <x v="20"/>
    <x v="0"/>
    <n v="12.5"/>
    <n v="0"/>
    <x v="4"/>
    <s v="DOMINIO"/>
    <x v="0"/>
    <m/>
    <m/>
    <n v="300"/>
    <n v="300"/>
    <n v="337.5"/>
  </r>
  <r>
    <x v="10"/>
    <x v="2"/>
    <x v="7"/>
    <x v="423"/>
    <x v="20"/>
    <x v="0"/>
    <n v="12.5"/>
    <n v="0"/>
    <x v="4"/>
    <s v="DOMINIO"/>
    <x v="0"/>
    <m/>
    <m/>
    <n v="300"/>
    <n v="300"/>
    <n v="337.5"/>
  </r>
  <r>
    <x v="10"/>
    <x v="2"/>
    <x v="7"/>
    <x v="638"/>
    <x v="20"/>
    <x v="0"/>
    <n v="12.5"/>
    <n v="0"/>
    <x v="4"/>
    <s v="DOMINIO"/>
    <x v="0"/>
    <m/>
    <m/>
    <n v="300"/>
    <n v="300"/>
    <n v="337.5"/>
  </r>
  <r>
    <x v="10"/>
    <x v="2"/>
    <x v="7"/>
    <x v="639"/>
    <x v="20"/>
    <x v="0"/>
    <n v="12.5"/>
    <n v="0"/>
    <x v="4"/>
    <s v="DOMINIO"/>
    <x v="0"/>
    <m/>
    <m/>
    <n v="300"/>
    <n v="300"/>
    <n v="337.5"/>
  </r>
  <r>
    <x v="10"/>
    <x v="2"/>
    <x v="7"/>
    <x v="425"/>
    <x v="20"/>
    <x v="0"/>
    <n v="12.5"/>
    <n v="0"/>
    <x v="4"/>
    <s v="DOMINIO"/>
    <x v="0"/>
    <m/>
    <m/>
    <n v="300"/>
    <n v="300"/>
    <n v="337.5"/>
  </r>
  <r>
    <x v="10"/>
    <x v="2"/>
    <x v="7"/>
    <x v="426"/>
    <x v="20"/>
    <x v="0"/>
    <n v="12.5"/>
    <n v="0"/>
    <x v="4"/>
    <s v="DOMINIO"/>
    <x v="0"/>
    <m/>
    <m/>
    <n v="300"/>
    <n v="300"/>
    <n v="337.5"/>
  </r>
  <r>
    <x v="10"/>
    <x v="2"/>
    <x v="7"/>
    <x v="640"/>
    <x v="20"/>
    <x v="0"/>
    <n v="12.5"/>
    <n v="0"/>
    <x v="4"/>
    <s v="DOMINIO"/>
    <x v="0"/>
    <m/>
    <m/>
    <n v="300"/>
    <n v="300"/>
    <n v="337.5"/>
  </r>
  <r>
    <x v="10"/>
    <x v="2"/>
    <x v="7"/>
    <x v="641"/>
    <x v="20"/>
    <x v="0"/>
    <n v="12.5"/>
    <n v="0"/>
    <x v="4"/>
    <s v="DOMINIO"/>
    <x v="0"/>
    <m/>
    <m/>
    <n v="300"/>
    <n v="300"/>
    <n v="337.5"/>
  </r>
  <r>
    <x v="10"/>
    <x v="2"/>
    <x v="7"/>
    <x v="429"/>
    <x v="20"/>
    <x v="0"/>
    <n v="12.5"/>
    <n v="0"/>
    <x v="4"/>
    <s v="DOMINIO"/>
    <x v="0"/>
    <m/>
    <m/>
    <n v="300"/>
    <n v="300"/>
    <n v="337.5"/>
  </r>
  <r>
    <x v="10"/>
    <x v="2"/>
    <x v="7"/>
    <x v="642"/>
    <x v="20"/>
    <x v="0"/>
    <n v="12.5"/>
    <n v="0"/>
    <x v="4"/>
    <s v="DOMINIO"/>
    <x v="0"/>
    <m/>
    <m/>
    <n v="300"/>
    <n v="300"/>
    <n v="337.5"/>
  </r>
  <r>
    <x v="10"/>
    <x v="2"/>
    <x v="7"/>
    <x v="430"/>
    <x v="20"/>
    <x v="0"/>
    <n v="12.5"/>
    <n v="0"/>
    <x v="4"/>
    <s v="DOMINIO"/>
    <x v="0"/>
    <m/>
    <m/>
    <n v="300"/>
    <n v="300"/>
    <n v="337.5"/>
  </r>
  <r>
    <x v="10"/>
    <x v="2"/>
    <x v="7"/>
    <x v="431"/>
    <x v="20"/>
    <x v="0"/>
    <n v="12.5"/>
    <n v="0"/>
    <x v="4"/>
    <s v="DOMINIO"/>
    <x v="0"/>
    <m/>
    <m/>
    <n v="300"/>
    <n v="300"/>
    <n v="337.5"/>
  </r>
  <r>
    <x v="10"/>
    <x v="2"/>
    <x v="7"/>
    <x v="643"/>
    <x v="20"/>
    <x v="0"/>
    <n v="12.5"/>
    <n v="0"/>
    <x v="4"/>
    <s v="DOMINIO"/>
    <x v="0"/>
    <m/>
    <m/>
    <n v="300"/>
    <n v="300"/>
    <n v="337.5"/>
  </r>
  <r>
    <x v="10"/>
    <x v="2"/>
    <x v="7"/>
    <x v="432"/>
    <x v="20"/>
    <x v="0"/>
    <n v="12.5"/>
    <n v="0"/>
    <x v="4"/>
    <s v="DOMINIO"/>
    <x v="0"/>
    <m/>
    <m/>
    <n v="300"/>
    <n v="300"/>
    <n v="337.5"/>
  </r>
  <r>
    <x v="10"/>
    <x v="2"/>
    <x v="7"/>
    <x v="433"/>
    <x v="20"/>
    <x v="0"/>
    <n v="12.5"/>
    <n v="0"/>
    <x v="4"/>
    <s v="DOMINIO"/>
    <x v="0"/>
    <m/>
    <m/>
    <n v="300"/>
    <n v="300"/>
    <n v="337.5"/>
  </r>
  <r>
    <x v="10"/>
    <x v="2"/>
    <x v="7"/>
    <x v="434"/>
    <x v="20"/>
    <x v="0"/>
    <n v="12.5"/>
    <n v="0"/>
    <x v="4"/>
    <s v="DOMINIO"/>
    <x v="0"/>
    <m/>
    <m/>
    <n v="300"/>
    <n v="300"/>
    <n v="337.5"/>
  </r>
  <r>
    <x v="10"/>
    <x v="2"/>
    <x v="7"/>
    <x v="435"/>
    <x v="20"/>
    <x v="0"/>
    <n v="12.5"/>
    <n v="0"/>
    <x v="4"/>
    <s v="DOMINIO"/>
    <x v="0"/>
    <m/>
    <m/>
    <n v="300"/>
    <n v="300"/>
    <n v="337.5"/>
  </r>
  <r>
    <x v="10"/>
    <x v="2"/>
    <x v="7"/>
    <x v="644"/>
    <x v="20"/>
    <x v="0"/>
    <n v="12.5"/>
    <n v="0"/>
    <x v="4"/>
    <s v="DOMINIO"/>
    <x v="0"/>
    <m/>
    <m/>
    <n v="300"/>
    <n v="300"/>
    <n v="337.5"/>
  </r>
  <r>
    <x v="10"/>
    <x v="2"/>
    <x v="7"/>
    <x v="645"/>
    <x v="20"/>
    <x v="0"/>
    <n v="12.5"/>
    <n v="0"/>
    <x v="4"/>
    <s v="DOMINIO"/>
    <x v="0"/>
    <m/>
    <m/>
    <n v="300"/>
    <n v="300"/>
    <n v="337.5"/>
  </r>
  <r>
    <x v="10"/>
    <x v="2"/>
    <x v="7"/>
    <x v="646"/>
    <x v="20"/>
    <x v="0"/>
    <n v="12.5"/>
    <n v="0"/>
    <x v="4"/>
    <s v="DOMINIO"/>
    <x v="0"/>
    <m/>
    <m/>
    <n v="300"/>
    <n v="300"/>
    <n v="337.5"/>
  </r>
  <r>
    <x v="10"/>
    <x v="2"/>
    <x v="7"/>
    <x v="647"/>
    <x v="20"/>
    <x v="0"/>
    <n v="12.5"/>
    <n v="0"/>
    <x v="4"/>
    <s v="DOMINIO"/>
    <x v="0"/>
    <m/>
    <m/>
    <n v="300"/>
    <n v="300"/>
    <n v="337.5"/>
  </r>
  <r>
    <x v="10"/>
    <x v="2"/>
    <x v="7"/>
    <x v="648"/>
    <x v="20"/>
    <x v="0"/>
    <n v="12.5"/>
    <n v="0"/>
    <x v="4"/>
    <s v="DOMINIO"/>
    <x v="0"/>
    <m/>
    <m/>
    <n v="300"/>
    <n v="300"/>
    <n v="337.5"/>
  </r>
  <r>
    <x v="10"/>
    <x v="2"/>
    <x v="7"/>
    <x v="649"/>
    <x v="20"/>
    <x v="0"/>
    <n v="12.5"/>
    <n v="0"/>
    <x v="4"/>
    <s v="DOMINIO"/>
    <x v="0"/>
    <m/>
    <m/>
    <n v="300"/>
    <n v="300"/>
    <n v="337.5"/>
  </r>
  <r>
    <x v="10"/>
    <x v="2"/>
    <x v="7"/>
    <x v="436"/>
    <x v="20"/>
    <x v="0"/>
    <n v="12.5"/>
    <n v="0"/>
    <x v="4"/>
    <s v="DOMINIO"/>
    <x v="0"/>
    <m/>
    <m/>
    <n v="300"/>
    <n v="300"/>
    <n v="337.5"/>
  </r>
  <r>
    <x v="10"/>
    <x v="2"/>
    <x v="7"/>
    <x v="650"/>
    <x v="20"/>
    <x v="0"/>
    <n v="12.5"/>
    <n v="0"/>
    <x v="4"/>
    <s v="DOMINIO"/>
    <x v="0"/>
    <m/>
    <m/>
    <n v="300"/>
    <n v="300"/>
    <n v="337.5"/>
  </r>
  <r>
    <x v="10"/>
    <x v="2"/>
    <x v="7"/>
    <x v="651"/>
    <x v="20"/>
    <x v="0"/>
    <n v="12.5"/>
    <n v="0"/>
    <x v="4"/>
    <s v="DOMINIO"/>
    <x v="0"/>
    <m/>
    <m/>
    <n v="300"/>
    <n v="300"/>
    <n v="337.5"/>
  </r>
  <r>
    <x v="10"/>
    <x v="2"/>
    <x v="7"/>
    <x v="596"/>
    <x v="20"/>
    <x v="0"/>
    <n v="12.5"/>
    <n v="0"/>
    <x v="4"/>
    <s v="DOMINIO"/>
    <x v="0"/>
    <m/>
    <m/>
    <n v="300"/>
    <n v="300"/>
    <n v="337.5"/>
  </r>
  <r>
    <x v="10"/>
    <x v="2"/>
    <x v="7"/>
    <x v="652"/>
    <x v="20"/>
    <x v="0"/>
    <n v="12.5"/>
    <n v="0"/>
    <x v="4"/>
    <s v="DOMINIO"/>
    <x v="0"/>
    <m/>
    <m/>
    <n v="300"/>
    <n v="300"/>
    <n v="337.5"/>
  </r>
  <r>
    <x v="10"/>
    <x v="2"/>
    <x v="7"/>
    <x v="653"/>
    <x v="20"/>
    <x v="0"/>
    <n v="12.5"/>
    <n v="0"/>
    <x v="4"/>
    <s v="DOMINIO"/>
    <x v="0"/>
    <m/>
    <m/>
    <n v="300"/>
    <n v="300"/>
    <n v="337.5"/>
  </r>
  <r>
    <x v="10"/>
    <x v="2"/>
    <x v="7"/>
    <x v="654"/>
    <x v="20"/>
    <x v="0"/>
    <n v="12.5"/>
    <n v="0"/>
    <x v="4"/>
    <s v="DOMINIO"/>
    <x v="0"/>
    <m/>
    <m/>
    <n v="300"/>
    <n v="300"/>
    <n v="337.5"/>
  </r>
  <r>
    <x v="10"/>
    <x v="2"/>
    <x v="7"/>
    <x v="438"/>
    <x v="20"/>
    <x v="0"/>
    <n v="12.5"/>
    <n v="0"/>
    <x v="4"/>
    <s v="DOMINIO"/>
    <x v="0"/>
    <m/>
    <m/>
    <n v="300"/>
    <n v="300"/>
    <n v="337.5"/>
  </r>
  <r>
    <x v="10"/>
    <x v="2"/>
    <x v="7"/>
    <x v="406"/>
    <x v="20"/>
    <x v="0"/>
    <n v="12.5"/>
    <n v="0"/>
    <x v="4"/>
    <s v="DOMINIO"/>
    <x v="0"/>
    <m/>
    <m/>
    <n v="300"/>
    <n v="300"/>
    <n v="337.5"/>
  </r>
  <r>
    <x v="11"/>
    <x v="0"/>
    <x v="10"/>
    <x v="240"/>
    <x v="10"/>
    <x v="2"/>
    <n v="43.07"/>
    <n v="2.2799999999999998"/>
    <x v="5"/>
    <s v="DOMINIO"/>
    <x v="0"/>
    <m/>
    <m/>
    <n v="2595"/>
    <n v="2335.5"/>
    <n v="2627.4374999999995"/>
  </r>
  <r>
    <x v="11"/>
    <x v="0"/>
    <x v="10"/>
    <x v="36"/>
    <x v="13"/>
    <x v="0"/>
    <n v="42.54"/>
    <n v="2.2799999999999998"/>
    <x v="6"/>
    <s v="DOMINIO"/>
    <x v="0"/>
    <m/>
    <m/>
    <n v="2538"/>
    <n v="2284.2000000000003"/>
    <n v="2569.7249999999999"/>
  </r>
  <r>
    <x v="11"/>
    <x v="1"/>
    <x v="6"/>
    <x v="276"/>
    <x v="20"/>
    <x v="1"/>
    <n v="3.7"/>
    <n v="0"/>
    <x v="4"/>
    <s v="DOMINIO"/>
    <x v="0"/>
    <m/>
    <m/>
    <n v="70"/>
    <n v="70"/>
    <n v="78.75"/>
  </r>
  <r>
    <x v="11"/>
    <x v="1"/>
    <x v="6"/>
    <x v="134"/>
    <x v="20"/>
    <x v="1"/>
    <n v="4.8099999999999996"/>
    <n v="0"/>
    <x v="4"/>
    <s v="DOMINIO"/>
    <x v="0"/>
    <m/>
    <m/>
    <n v="70"/>
    <n v="70"/>
    <n v="78.75"/>
  </r>
  <r>
    <x v="11"/>
    <x v="2"/>
    <x v="7"/>
    <x v="170"/>
    <x v="20"/>
    <x v="1"/>
    <n v="12.5"/>
    <n v="0"/>
    <x v="4"/>
    <s v="DOMINIO"/>
    <x v="0"/>
    <m/>
    <m/>
    <n v="350"/>
    <n v="350"/>
    <n v="393.75"/>
  </r>
  <r>
    <x v="11"/>
    <x v="2"/>
    <x v="7"/>
    <x v="183"/>
    <x v="20"/>
    <x v="1"/>
    <n v="12.5"/>
    <n v="0"/>
    <x v="4"/>
    <s v="DOMINIO"/>
    <x v="0"/>
    <m/>
    <m/>
    <n v="350"/>
    <n v="350"/>
    <n v="393.75"/>
  </r>
  <r>
    <x v="11"/>
    <x v="2"/>
    <x v="7"/>
    <x v="184"/>
    <x v="20"/>
    <x v="1"/>
    <n v="12.5"/>
    <n v="0"/>
    <x v="4"/>
    <s v="DOMINIO"/>
    <x v="0"/>
    <m/>
    <m/>
    <n v="350"/>
    <n v="350"/>
    <n v="393.75"/>
  </r>
  <r>
    <x v="11"/>
    <x v="2"/>
    <x v="7"/>
    <x v="190"/>
    <x v="20"/>
    <x v="1"/>
    <n v="12.5"/>
    <n v="0"/>
    <x v="4"/>
    <s v="DOMINIO"/>
    <x v="0"/>
    <m/>
    <m/>
    <n v="350"/>
    <n v="350"/>
    <n v="393.75"/>
  </r>
  <r>
    <x v="12"/>
    <x v="0"/>
    <x v="3"/>
    <x v="277"/>
    <x v="3"/>
    <x v="0"/>
    <n v="36.9"/>
    <n v="2.2400000000000002"/>
    <x v="8"/>
    <s v="DOMINIO"/>
    <x v="0"/>
    <m/>
    <m/>
    <n v="2311"/>
    <n v="2033.68"/>
    <n v="2287.89"/>
  </r>
  <r>
    <x v="12"/>
    <x v="0"/>
    <x v="3"/>
    <x v="278"/>
    <x v="0"/>
    <x v="2"/>
    <n v="36.9"/>
    <n v="2.27"/>
    <x v="8"/>
    <s v="DOMINIO"/>
    <x v="0"/>
    <m/>
    <m/>
    <n v="2322"/>
    <n v="2043.36"/>
    <n v="2298.7799999999997"/>
  </r>
  <r>
    <x v="12"/>
    <x v="0"/>
    <x v="3"/>
    <x v="229"/>
    <x v="0"/>
    <x v="0"/>
    <n v="36.9"/>
    <n v="2.2400000000000002"/>
    <x v="8"/>
    <s v="DOMINIO"/>
    <x v="0"/>
    <m/>
    <m/>
    <n v="2322"/>
    <n v="2043.36"/>
    <n v="2298.7799999999997"/>
  </r>
  <r>
    <x v="12"/>
    <x v="0"/>
    <x v="3"/>
    <x v="280"/>
    <x v="4"/>
    <x v="0"/>
    <n v="36.9"/>
    <n v="2.2400000000000002"/>
    <x v="8"/>
    <s v="DOMINIO"/>
    <x v="0"/>
    <m/>
    <m/>
    <n v="2334"/>
    <n v="2053.92"/>
    <n v="2310.66"/>
  </r>
  <r>
    <x v="12"/>
    <x v="0"/>
    <x v="3"/>
    <x v="308"/>
    <x v="4"/>
    <x v="0"/>
    <n v="36.9"/>
    <n v="2.2400000000000002"/>
    <x v="8"/>
    <s v="DOMINIO"/>
    <x v="0"/>
    <m/>
    <m/>
    <n v="2334"/>
    <n v="2053.92"/>
    <n v="2310.66"/>
  </r>
  <r>
    <x v="12"/>
    <x v="0"/>
    <x v="3"/>
    <x v="285"/>
    <x v="8"/>
    <x v="0"/>
    <n v="36.9"/>
    <n v="2.2400000000000002"/>
    <x v="7"/>
    <s v="DOMINIO"/>
    <x v="0"/>
    <m/>
    <m/>
    <n v="2334"/>
    <n v="2053.92"/>
    <n v="2310.66"/>
  </r>
  <r>
    <x v="12"/>
    <x v="0"/>
    <x v="3"/>
    <x v="75"/>
    <x v="9"/>
    <x v="0"/>
    <n v="36.9"/>
    <n v="2.2400000000000002"/>
    <x v="8"/>
    <s v="DOMINIO"/>
    <x v="0"/>
    <m/>
    <m/>
    <n v="2368"/>
    <n v="2083.84"/>
    <n v="2344.3200000000002"/>
  </r>
  <r>
    <x v="12"/>
    <x v="0"/>
    <x v="3"/>
    <x v="16"/>
    <x v="9"/>
    <x v="0"/>
    <n v="36.9"/>
    <n v="2.2400000000000002"/>
    <x v="8"/>
    <s v="DOMINIO"/>
    <x v="0"/>
    <m/>
    <m/>
    <n v="2368"/>
    <n v="2083.84"/>
    <n v="2344.3200000000002"/>
  </r>
  <r>
    <x v="12"/>
    <x v="0"/>
    <x v="3"/>
    <x v="77"/>
    <x v="5"/>
    <x v="0"/>
    <n v="36.9"/>
    <n v="2.2400000000000002"/>
    <x v="8"/>
    <s v="DOMINIO"/>
    <x v="0"/>
    <m/>
    <m/>
    <n v="2379"/>
    <n v="2093.52"/>
    <n v="2355.2099999999996"/>
  </r>
  <r>
    <x v="12"/>
    <x v="0"/>
    <x v="3"/>
    <x v="18"/>
    <x v="5"/>
    <x v="0"/>
    <n v="36.9"/>
    <n v="2.2400000000000002"/>
    <x v="7"/>
    <s v="DOMINIO"/>
    <x v="0"/>
    <m/>
    <m/>
    <n v="2357"/>
    <n v="2074.16"/>
    <n v="2333.4299999999998"/>
  </r>
  <r>
    <x v="12"/>
    <x v="0"/>
    <x v="3"/>
    <x v="20"/>
    <x v="5"/>
    <x v="0"/>
    <n v="36.9"/>
    <n v="2.2400000000000002"/>
    <x v="8"/>
    <s v="DOMINIO"/>
    <x v="0"/>
    <m/>
    <m/>
    <n v="2379"/>
    <n v="2093.52"/>
    <n v="2355.2099999999996"/>
  </r>
  <r>
    <x v="12"/>
    <x v="0"/>
    <x v="3"/>
    <x v="79"/>
    <x v="10"/>
    <x v="2"/>
    <n v="36.9"/>
    <n v="2.27"/>
    <x v="8"/>
    <s v="DOMINIO"/>
    <x v="0"/>
    <m/>
    <m/>
    <n v="2391"/>
    <n v="2104.08"/>
    <n v="2367.0899999999997"/>
  </r>
  <r>
    <x v="12"/>
    <x v="0"/>
    <x v="3"/>
    <x v="288"/>
    <x v="10"/>
    <x v="2"/>
    <n v="36.9"/>
    <n v="2.27"/>
    <x v="7"/>
    <s v="DOMINIO"/>
    <x v="0"/>
    <m/>
    <m/>
    <n v="2368"/>
    <n v="2083.84"/>
    <n v="2344.3200000000002"/>
  </r>
  <r>
    <x v="12"/>
    <x v="0"/>
    <x v="3"/>
    <x v="24"/>
    <x v="10"/>
    <x v="0"/>
    <n v="36.9"/>
    <n v="2.2400000000000002"/>
    <x v="8"/>
    <s v="DOMINIO"/>
    <x v="0"/>
    <m/>
    <m/>
    <n v="2391"/>
    <n v="2104.08"/>
    <n v="2367.0899999999997"/>
  </r>
  <r>
    <x v="12"/>
    <x v="0"/>
    <x v="3"/>
    <x v="81"/>
    <x v="11"/>
    <x v="2"/>
    <n v="36.9"/>
    <n v="2.27"/>
    <x v="8"/>
    <s v="DOMINIO"/>
    <x v="0"/>
    <m/>
    <m/>
    <n v="2402"/>
    <n v="2113.7600000000002"/>
    <n v="2377.98"/>
  </r>
  <r>
    <x v="12"/>
    <x v="0"/>
    <x v="3"/>
    <x v="289"/>
    <x v="11"/>
    <x v="0"/>
    <n v="36.9"/>
    <n v="2.2400000000000002"/>
    <x v="7"/>
    <s v="DOMINIO"/>
    <x v="0"/>
    <m/>
    <m/>
    <n v="2379"/>
    <n v="2093.52"/>
    <n v="2355.2099999999996"/>
  </r>
  <r>
    <x v="12"/>
    <x v="0"/>
    <x v="4"/>
    <x v="351"/>
    <x v="3"/>
    <x v="0"/>
    <n v="42.83"/>
    <n v="2.2400000000000002"/>
    <x v="7"/>
    <s v="DOMINIO"/>
    <x v="0"/>
    <m/>
    <m/>
    <n v="2518"/>
    <n v="2215.84"/>
    <n v="2492.8200000000002"/>
  </r>
  <r>
    <x v="12"/>
    <x v="0"/>
    <x v="4"/>
    <x v="395"/>
    <x v="11"/>
    <x v="0"/>
    <n v="41.68"/>
    <n v="2.2400000000000002"/>
    <x v="7"/>
    <s v="DOMINIO"/>
    <x v="0"/>
    <m/>
    <m/>
    <n v="2609"/>
    <n v="2295.92"/>
    <n v="2582.91"/>
  </r>
  <r>
    <x v="12"/>
    <x v="2"/>
    <x v="7"/>
    <x v="273"/>
    <x v="6"/>
    <x v="0"/>
    <n v="12.5"/>
    <n v="0"/>
    <x v="4"/>
    <s v="DOMINIO"/>
    <x v="0"/>
    <m/>
    <m/>
    <n v="350"/>
    <n v="350"/>
    <n v="393.75"/>
  </r>
  <r>
    <x v="12"/>
    <x v="2"/>
    <x v="7"/>
    <x v="111"/>
    <x v="6"/>
    <x v="0"/>
    <n v="12.5"/>
    <n v="0"/>
    <x v="4"/>
    <s v="DOMINIO"/>
    <x v="0"/>
    <m/>
    <m/>
    <n v="350"/>
    <n v="350"/>
    <n v="393.75"/>
  </r>
  <r>
    <x v="12"/>
    <x v="2"/>
    <x v="7"/>
    <x v="115"/>
    <x v="6"/>
    <x v="0"/>
    <n v="12.5"/>
    <n v="0"/>
    <x v="4"/>
    <s v="DOMINIO"/>
    <x v="0"/>
    <m/>
    <m/>
    <n v="350"/>
    <n v="350"/>
    <n v="393.75"/>
  </r>
  <r>
    <x v="12"/>
    <x v="2"/>
    <x v="7"/>
    <x v="168"/>
    <x v="6"/>
    <x v="2"/>
    <n v="12.5"/>
    <n v="0"/>
    <x v="4"/>
    <s v="DOMINIO"/>
    <x v="0"/>
    <m/>
    <m/>
    <n v="350"/>
    <n v="350"/>
    <n v="393.75"/>
  </r>
  <r>
    <x v="12"/>
    <x v="2"/>
    <x v="7"/>
    <x v="173"/>
    <x v="20"/>
    <x v="1"/>
    <n v="12.5"/>
    <n v="0"/>
    <x v="4"/>
    <s v="DOMINIO"/>
    <x v="0"/>
    <m/>
    <m/>
    <n v="350"/>
    <n v="350"/>
    <n v="393.75"/>
  </r>
  <r>
    <x v="12"/>
    <x v="2"/>
    <x v="7"/>
    <x v="174"/>
    <x v="20"/>
    <x v="1"/>
    <n v="12.5"/>
    <n v="0"/>
    <x v="4"/>
    <s v="DOMINIO"/>
    <x v="0"/>
    <m/>
    <m/>
    <n v="350"/>
    <n v="350"/>
    <n v="393.75"/>
  </r>
  <r>
    <x v="12"/>
    <x v="2"/>
    <x v="7"/>
    <x v="148"/>
    <x v="20"/>
    <x v="1"/>
    <n v="12.5"/>
    <n v="0"/>
    <x v="4"/>
    <s v="DOMINIO"/>
    <x v="0"/>
    <m/>
    <m/>
    <n v="350"/>
    <n v="350"/>
    <n v="393.75"/>
  </r>
  <r>
    <x v="12"/>
    <x v="2"/>
    <x v="7"/>
    <x v="152"/>
    <x v="20"/>
    <x v="1"/>
    <n v="12.5"/>
    <n v="0"/>
    <x v="4"/>
    <s v="DOMINIO"/>
    <x v="0"/>
    <m/>
    <m/>
    <n v="350"/>
    <n v="350"/>
    <n v="393.75"/>
  </r>
  <r>
    <x v="12"/>
    <x v="2"/>
    <x v="7"/>
    <x v="153"/>
    <x v="20"/>
    <x v="1"/>
    <n v="12.5"/>
    <n v="0"/>
    <x v="4"/>
    <s v="DOMINIO"/>
    <x v="0"/>
    <m/>
    <m/>
    <n v="350"/>
    <n v="350"/>
    <n v="393.75"/>
  </r>
  <r>
    <x v="12"/>
    <x v="2"/>
    <x v="7"/>
    <x v="156"/>
    <x v="20"/>
    <x v="1"/>
    <n v="12.5"/>
    <n v="0"/>
    <x v="4"/>
    <s v="DOMINIO"/>
    <x v="0"/>
    <m/>
    <m/>
    <n v="350"/>
    <n v="350"/>
    <n v="393.75"/>
  </r>
  <r>
    <x v="12"/>
    <x v="2"/>
    <x v="7"/>
    <x v="164"/>
    <x v="20"/>
    <x v="13"/>
    <n v="12.5"/>
    <n v="0"/>
    <x v="4"/>
    <s v="DOMINIO"/>
    <x v="0"/>
    <m/>
    <m/>
    <n v="350"/>
    <n v="350"/>
    <n v="393.75"/>
  </r>
  <r>
    <x v="12"/>
    <x v="2"/>
    <x v="7"/>
    <x v="178"/>
    <x v="20"/>
    <x v="1"/>
    <n v="12.5"/>
    <n v="0"/>
    <x v="4"/>
    <s v="DOMINIO"/>
    <x v="0"/>
    <m/>
    <m/>
    <n v="350"/>
    <n v="350"/>
    <n v="393.75"/>
  </r>
  <r>
    <x v="12"/>
    <x v="2"/>
    <x v="7"/>
    <x v="191"/>
    <x v="20"/>
    <x v="1"/>
    <n v="12.5"/>
    <n v="0"/>
    <x v="4"/>
    <s v="DOMINIO"/>
    <x v="0"/>
    <m/>
    <m/>
    <n v="350"/>
    <n v="350"/>
    <n v="393.75"/>
  </r>
  <r>
    <x v="12"/>
    <x v="2"/>
    <x v="7"/>
    <x v="194"/>
    <x v="20"/>
    <x v="1"/>
    <n v="12.5"/>
    <n v="0"/>
    <x v="4"/>
    <s v="DOMINIO"/>
    <x v="0"/>
    <m/>
    <m/>
    <n v="350"/>
    <n v="350"/>
    <n v="393.75"/>
  </r>
  <r>
    <x v="12"/>
    <x v="2"/>
    <x v="7"/>
    <x v="7"/>
    <x v="20"/>
    <x v="1"/>
    <n v="12.5"/>
    <n v="0"/>
    <x v="4"/>
    <s v="DOMINIO"/>
    <x v="0"/>
    <m/>
    <m/>
    <n v="350"/>
    <n v="350"/>
    <n v="393.75"/>
  </r>
  <r>
    <x v="12"/>
    <x v="2"/>
    <x v="7"/>
    <x v="197"/>
    <x v="20"/>
    <x v="1"/>
    <n v="12.5"/>
    <n v="0"/>
    <x v="4"/>
    <s v="DOMINIO"/>
    <x v="0"/>
    <m/>
    <m/>
    <n v="350"/>
    <n v="350"/>
    <n v="393.75"/>
  </r>
  <r>
    <x v="12"/>
    <x v="2"/>
    <x v="7"/>
    <x v="205"/>
    <x v="20"/>
    <x v="1"/>
    <n v="12.5"/>
    <n v="0"/>
    <x v="4"/>
    <s v="DOMINIO"/>
    <x v="0"/>
    <m/>
    <m/>
    <n v="350"/>
    <n v="350"/>
    <n v="393.75"/>
  </r>
  <r>
    <x v="12"/>
    <x v="2"/>
    <x v="7"/>
    <x v="206"/>
    <x v="20"/>
    <x v="1"/>
    <n v="12.5"/>
    <n v="0"/>
    <x v="4"/>
    <s v="DOMINIO"/>
    <x v="0"/>
    <m/>
    <m/>
    <n v="350"/>
    <n v="350"/>
    <n v="393.75"/>
  </r>
  <r>
    <x v="12"/>
    <x v="2"/>
    <x v="7"/>
    <x v="213"/>
    <x v="20"/>
    <x v="1"/>
    <n v="12.5"/>
    <n v="0"/>
    <x v="4"/>
    <s v="DOMINIO"/>
    <x v="0"/>
    <m/>
    <m/>
    <n v="350"/>
    <n v="350"/>
    <n v="393.75"/>
  </r>
  <r>
    <x v="12"/>
    <x v="2"/>
    <x v="7"/>
    <x v="214"/>
    <x v="20"/>
    <x v="1"/>
    <n v="12.5"/>
    <n v="0"/>
    <x v="4"/>
    <s v="DOMINIO"/>
    <x v="0"/>
    <m/>
    <m/>
    <n v="392"/>
    <n v="392"/>
    <n v="441"/>
  </r>
  <r>
    <x v="12"/>
    <x v="2"/>
    <x v="7"/>
    <x v="215"/>
    <x v="20"/>
    <x v="1"/>
    <n v="12.5"/>
    <n v="0"/>
    <x v="4"/>
    <s v="DOMINIO"/>
    <x v="0"/>
    <m/>
    <m/>
    <n v="392"/>
    <n v="392"/>
    <n v="441"/>
  </r>
  <r>
    <x v="12"/>
    <x v="2"/>
    <x v="7"/>
    <x v="219"/>
    <x v="20"/>
    <x v="1"/>
    <n v="12.5"/>
    <n v="0"/>
    <x v="4"/>
    <s v="DOMINIO"/>
    <x v="0"/>
    <m/>
    <m/>
    <n v="350"/>
    <n v="350"/>
    <n v="393.75"/>
  </r>
  <r>
    <x v="12"/>
    <x v="2"/>
    <x v="7"/>
    <x v="220"/>
    <x v="20"/>
    <x v="1"/>
    <n v="12.5"/>
    <n v="0"/>
    <x v="4"/>
    <s v="DOMINIO"/>
    <x v="0"/>
    <m/>
    <m/>
    <n v="350"/>
    <n v="350"/>
    <n v="393.75"/>
  </r>
  <r>
    <x v="12"/>
    <x v="2"/>
    <x v="7"/>
    <x v="221"/>
    <x v="20"/>
    <x v="1"/>
    <n v="12.5"/>
    <n v="0"/>
    <x v="4"/>
    <s v="DOMINIO"/>
    <x v="0"/>
    <m/>
    <m/>
    <n v="350"/>
    <n v="350"/>
    <n v="393.75"/>
  </r>
  <r>
    <x v="12"/>
    <x v="2"/>
    <x v="7"/>
    <x v="222"/>
    <x v="20"/>
    <x v="1"/>
    <n v="12.5"/>
    <n v="0"/>
    <x v="4"/>
    <s v="DOMINIO"/>
    <x v="0"/>
    <m/>
    <m/>
    <n v="350"/>
    <n v="350"/>
    <n v="393.75"/>
  </r>
  <r>
    <x v="12"/>
    <x v="2"/>
    <x v="7"/>
    <x v="223"/>
    <x v="20"/>
    <x v="1"/>
    <n v="12.5"/>
    <n v="0"/>
    <x v="4"/>
    <s v="DOMINIO"/>
    <x v="0"/>
    <m/>
    <m/>
    <n v="350"/>
    <n v="350"/>
    <n v="393.75"/>
  </r>
  <r>
    <x v="12"/>
    <x v="2"/>
    <x v="7"/>
    <x v="421"/>
    <x v="20"/>
    <x v="1"/>
    <n v="12.5"/>
    <n v="0"/>
    <x v="4"/>
    <s v="DOMINIO"/>
    <x v="0"/>
    <s v="E - 148"/>
    <m/>
    <n v="300"/>
    <n v="300"/>
    <n v="337.5"/>
  </r>
  <r>
    <x v="12"/>
    <x v="2"/>
    <x v="7"/>
    <x v="588"/>
    <x v="20"/>
    <x v="1"/>
    <n v="12.5"/>
    <n v="0"/>
    <x v="4"/>
    <s v="DOMINIO"/>
    <x v="0"/>
    <s v="E - 147"/>
    <m/>
    <n v="300"/>
    <n v="300"/>
    <n v="337.5"/>
  </r>
  <r>
    <x v="12"/>
    <x v="2"/>
    <x v="7"/>
    <x v="589"/>
    <x v="20"/>
    <x v="1"/>
    <n v="12.5"/>
    <n v="0"/>
    <x v="4"/>
    <s v="DOMINIO"/>
    <x v="0"/>
    <s v="E - 150"/>
    <m/>
    <n v="300"/>
    <n v="300"/>
    <n v="337.5"/>
  </r>
  <r>
    <x v="12"/>
    <x v="2"/>
    <x v="7"/>
    <x v="634"/>
    <x v="20"/>
    <x v="1"/>
    <n v="12.5"/>
    <n v="0"/>
    <x v="4"/>
    <s v="DOMINIO"/>
    <x v="0"/>
    <s v="E - 149"/>
    <m/>
    <n v="300"/>
    <n v="300"/>
    <n v="337.5"/>
  </r>
  <r>
    <x v="12"/>
    <x v="2"/>
    <x v="7"/>
    <x v="635"/>
    <x v="20"/>
    <x v="1"/>
    <n v="12.5"/>
    <n v="0"/>
    <x v="4"/>
    <s v="DOMINIO"/>
    <x v="0"/>
    <s v="E - 152"/>
    <m/>
    <n v="300"/>
    <n v="300"/>
    <n v="337.5"/>
  </r>
  <r>
    <x v="12"/>
    <x v="2"/>
    <x v="7"/>
    <x v="636"/>
    <x v="20"/>
    <x v="1"/>
    <n v="12.5"/>
    <n v="0"/>
    <x v="4"/>
    <s v="DOMINIO"/>
    <x v="0"/>
    <s v="E - 151"/>
    <m/>
    <n v="300"/>
    <n v="300"/>
    <n v="337.5"/>
  </r>
  <r>
    <x v="12"/>
    <x v="2"/>
    <x v="7"/>
    <x v="637"/>
    <x v="20"/>
    <x v="1"/>
    <n v="12.5"/>
    <n v="0"/>
    <x v="4"/>
    <s v="DOMINIO"/>
    <x v="0"/>
    <m/>
    <m/>
    <n v="350"/>
    <n v="350"/>
    <n v="393.75"/>
  </r>
  <r>
    <x v="12"/>
    <x v="2"/>
    <x v="7"/>
    <x v="422"/>
    <x v="20"/>
    <x v="1"/>
    <n v="12.5"/>
    <n v="0"/>
    <x v="4"/>
    <s v="DOMINIO"/>
    <x v="0"/>
    <m/>
    <m/>
    <n v="350"/>
    <n v="350"/>
    <n v="393.75"/>
  </r>
  <r>
    <x v="12"/>
    <x v="2"/>
    <x v="7"/>
    <x v="423"/>
    <x v="20"/>
    <x v="1"/>
    <n v="12.5"/>
    <n v="0"/>
    <x v="4"/>
    <s v="DOMINIO"/>
    <x v="0"/>
    <m/>
    <m/>
    <n v="350"/>
    <n v="350"/>
    <n v="393.75"/>
  </r>
  <r>
    <x v="12"/>
    <x v="2"/>
    <x v="7"/>
    <x v="638"/>
    <x v="20"/>
    <x v="1"/>
    <n v="12.5"/>
    <n v="0"/>
    <x v="4"/>
    <s v="DOMINIO"/>
    <x v="0"/>
    <m/>
    <m/>
    <n v="350"/>
    <n v="350"/>
    <n v="393.75"/>
  </r>
  <r>
    <x v="12"/>
    <x v="2"/>
    <x v="7"/>
    <x v="424"/>
    <x v="20"/>
    <x v="1"/>
    <n v="12.5"/>
    <n v="0"/>
    <x v="4"/>
    <s v="DOMINIO"/>
    <x v="0"/>
    <m/>
    <m/>
    <n v="350"/>
    <n v="350"/>
    <n v="393.75"/>
  </r>
  <r>
    <x v="12"/>
    <x v="2"/>
    <x v="7"/>
    <x v="655"/>
    <x v="20"/>
    <x v="1"/>
    <n v="12.5"/>
    <n v="0"/>
    <x v="4"/>
    <s v="DOMINIO"/>
    <x v="0"/>
    <m/>
    <m/>
    <n v="350"/>
    <n v="350"/>
    <n v="393.75"/>
  </r>
  <r>
    <x v="12"/>
    <x v="2"/>
    <x v="7"/>
    <x v="656"/>
    <x v="20"/>
    <x v="1"/>
    <n v="12.5"/>
    <n v="0"/>
    <x v="4"/>
    <s v="DOMINIO"/>
    <x v="0"/>
    <m/>
    <m/>
    <n v="350"/>
    <n v="350"/>
    <n v="393.75"/>
  </r>
  <r>
    <x v="12"/>
    <x v="2"/>
    <x v="7"/>
    <x v="657"/>
    <x v="20"/>
    <x v="1"/>
    <n v="12.5"/>
    <n v="0"/>
    <x v="4"/>
    <s v="DOMINIO"/>
    <x v="0"/>
    <m/>
    <m/>
    <n v="350"/>
    <n v="350"/>
    <n v="393.75"/>
  </r>
  <r>
    <x v="13"/>
    <x v="0"/>
    <x v="0"/>
    <x v="200"/>
    <x v="6"/>
    <x v="0"/>
    <n v="31.12"/>
    <n v="3.7"/>
    <x v="3"/>
    <s v="DOMINIO"/>
    <x v="0"/>
    <m/>
    <m/>
    <n v="2731"/>
    <n v="2457.9"/>
    <n v="2765.1374999999998"/>
  </r>
  <r>
    <x v="13"/>
    <x v="0"/>
    <x v="0"/>
    <x v="291"/>
    <x v="3"/>
    <x v="0"/>
    <n v="31.14"/>
    <n v="3.81"/>
    <x v="3"/>
    <s v="DOMINIO"/>
    <x v="0"/>
    <m/>
    <m/>
    <n v="2789"/>
    <n v="2510.1"/>
    <n v="2823.8625000000002"/>
  </r>
  <r>
    <x v="13"/>
    <x v="0"/>
    <x v="0"/>
    <x v="371"/>
    <x v="3"/>
    <x v="0"/>
    <n v="31.43"/>
    <n v="3.67"/>
    <x v="0"/>
    <s v="DOMINIO"/>
    <x v="0"/>
    <m/>
    <m/>
    <n v="2731"/>
    <n v="2457.9"/>
    <n v="2765.1374999999998"/>
  </r>
  <r>
    <x v="13"/>
    <x v="0"/>
    <x v="0"/>
    <x v="354"/>
    <x v="0"/>
    <x v="0"/>
    <n v="31.12"/>
    <n v="3.7"/>
    <x v="3"/>
    <s v="DOMINIO"/>
    <x v="0"/>
    <m/>
    <m/>
    <n v="2801"/>
    <n v="2520.9"/>
    <n v="2836.0124999999998"/>
  </r>
  <r>
    <x v="13"/>
    <x v="0"/>
    <x v="0"/>
    <x v="305"/>
    <x v="4"/>
    <x v="0"/>
    <n v="31.14"/>
    <n v="3.81"/>
    <x v="3"/>
    <s v="DOMINIO"/>
    <x v="0"/>
    <m/>
    <m/>
    <n v="2813"/>
    <n v="2531.7000000000003"/>
    <n v="2848.1624999999999"/>
  </r>
  <r>
    <x v="13"/>
    <x v="0"/>
    <x v="0"/>
    <x v="313"/>
    <x v="7"/>
    <x v="0"/>
    <n v="31.14"/>
    <n v="3.81"/>
    <x v="3"/>
    <s v="DOMINIO"/>
    <x v="0"/>
    <m/>
    <m/>
    <n v="2825"/>
    <n v="2542.5"/>
    <n v="2860.3125"/>
  </r>
  <r>
    <x v="13"/>
    <x v="0"/>
    <x v="0"/>
    <x v="10"/>
    <x v="7"/>
    <x v="0"/>
    <n v="31.12"/>
    <n v="3.7"/>
    <x v="3"/>
    <s v="DOMINIO"/>
    <x v="0"/>
    <m/>
    <m/>
    <n v="2825"/>
    <n v="2542.5"/>
    <n v="2860.3125"/>
  </r>
  <r>
    <x v="13"/>
    <x v="0"/>
    <x v="0"/>
    <x v="321"/>
    <x v="8"/>
    <x v="0"/>
    <n v="31.14"/>
    <n v="3.81"/>
    <x v="3"/>
    <s v="DOMINIO"/>
    <x v="0"/>
    <m/>
    <m/>
    <n v="2836"/>
    <n v="2552.4"/>
    <n v="2871.45"/>
  </r>
  <r>
    <x v="13"/>
    <x v="0"/>
    <x v="0"/>
    <x v="12"/>
    <x v="8"/>
    <x v="0"/>
    <n v="31.12"/>
    <n v="3.7"/>
    <x v="3"/>
    <s v="DOMINIO"/>
    <x v="0"/>
    <m/>
    <m/>
    <n v="2836"/>
    <n v="2552.4"/>
    <n v="2871.45"/>
  </r>
  <r>
    <x v="13"/>
    <x v="0"/>
    <x v="0"/>
    <x v="329"/>
    <x v="9"/>
    <x v="0"/>
    <n v="31.5"/>
    <n v="3.81"/>
    <x v="3"/>
    <s v="DOMINIO"/>
    <x v="0"/>
    <m/>
    <m/>
    <n v="2848"/>
    <n v="2563.2000000000003"/>
    <n v="2883.6"/>
  </r>
  <r>
    <x v="13"/>
    <x v="0"/>
    <x v="0"/>
    <x v="15"/>
    <x v="9"/>
    <x v="0"/>
    <n v="31.44"/>
    <n v="3.73"/>
    <x v="3"/>
    <s v="DOMINIO"/>
    <x v="0"/>
    <m/>
    <m/>
    <n v="2848"/>
    <n v="2563.2000000000003"/>
    <n v="2883.6"/>
  </r>
  <r>
    <x v="13"/>
    <x v="0"/>
    <x v="0"/>
    <x v="18"/>
    <x v="5"/>
    <x v="0"/>
    <n v="31.5"/>
    <n v="3.81"/>
    <x v="3"/>
    <s v="DOMINIO"/>
    <x v="0"/>
    <m/>
    <m/>
    <n v="2860"/>
    <n v="2574"/>
    <n v="2895.7499999999995"/>
  </r>
  <r>
    <x v="13"/>
    <x v="0"/>
    <x v="0"/>
    <x v="19"/>
    <x v="5"/>
    <x v="0"/>
    <n v="31.44"/>
    <n v="3.73"/>
    <x v="3"/>
    <s v="DOMINIO"/>
    <x v="0"/>
    <m/>
    <m/>
    <n v="2860"/>
    <n v="2574"/>
    <n v="2895.7499999999995"/>
  </r>
  <r>
    <x v="13"/>
    <x v="0"/>
    <x v="0"/>
    <x v="383"/>
    <x v="5"/>
    <x v="0"/>
    <n v="31.47"/>
    <n v="3.7"/>
    <x v="0"/>
    <s v="DOMINIO"/>
    <x v="0"/>
    <m/>
    <m/>
    <n v="2801"/>
    <n v="2520.9"/>
    <n v="2836.0124999999998"/>
  </r>
  <r>
    <x v="13"/>
    <x v="0"/>
    <x v="0"/>
    <x v="22"/>
    <x v="10"/>
    <x v="0"/>
    <n v="31.5"/>
    <n v="3.81"/>
    <x v="3"/>
    <s v="DOMINIO"/>
    <x v="0"/>
    <m/>
    <m/>
    <n v="2872"/>
    <n v="2584.8000000000002"/>
    <n v="2907.9"/>
  </r>
  <r>
    <x v="13"/>
    <x v="0"/>
    <x v="0"/>
    <x v="23"/>
    <x v="10"/>
    <x v="0"/>
    <n v="31.44"/>
    <n v="3.73"/>
    <x v="3"/>
    <s v="DOMINIO"/>
    <x v="0"/>
    <m/>
    <m/>
    <n v="2872"/>
    <n v="2584.8000000000002"/>
    <n v="2907.9"/>
  </r>
  <r>
    <x v="13"/>
    <x v="0"/>
    <x v="0"/>
    <x v="385"/>
    <x v="10"/>
    <x v="0"/>
    <n v="31.47"/>
    <n v="3.7"/>
    <x v="0"/>
    <s v="DOMINIO"/>
    <x v="0"/>
    <m/>
    <m/>
    <n v="2813"/>
    <n v="2531.7000000000003"/>
    <n v="2848.1624999999999"/>
  </r>
  <r>
    <x v="13"/>
    <x v="0"/>
    <x v="0"/>
    <x v="27"/>
    <x v="11"/>
    <x v="0"/>
    <n v="31.5"/>
    <n v="3.81"/>
    <x v="3"/>
    <s v="DOMINIO"/>
    <x v="0"/>
    <m/>
    <m/>
    <n v="2884"/>
    <n v="2595.6"/>
    <n v="2920.0499999999997"/>
  </r>
  <r>
    <x v="13"/>
    <x v="0"/>
    <x v="0"/>
    <x v="28"/>
    <x v="11"/>
    <x v="0"/>
    <n v="31.44"/>
    <n v="3.73"/>
    <x v="3"/>
    <s v="DOMINIO"/>
    <x v="0"/>
    <m/>
    <m/>
    <n v="2884"/>
    <n v="2595.6"/>
    <n v="2920.0499999999997"/>
  </r>
  <r>
    <x v="13"/>
    <x v="0"/>
    <x v="0"/>
    <x v="387"/>
    <x v="11"/>
    <x v="0"/>
    <n v="31.47"/>
    <n v="3.7"/>
    <x v="0"/>
    <s v="DOMINIO"/>
    <x v="0"/>
    <m/>
    <m/>
    <n v="2825"/>
    <n v="2542.5"/>
    <n v="2860.3125"/>
  </r>
  <r>
    <x v="13"/>
    <x v="0"/>
    <x v="0"/>
    <x v="31"/>
    <x v="12"/>
    <x v="0"/>
    <n v="31.5"/>
    <n v="3.81"/>
    <x v="3"/>
    <s v="DOMINIO"/>
    <x v="0"/>
    <m/>
    <m/>
    <n v="2889"/>
    <n v="2600.1"/>
    <n v="2925.1125000000002"/>
  </r>
  <r>
    <x v="13"/>
    <x v="0"/>
    <x v="0"/>
    <x v="32"/>
    <x v="12"/>
    <x v="0"/>
    <n v="31.44"/>
    <n v="3.73"/>
    <x v="3"/>
    <s v="DOMINIO"/>
    <x v="0"/>
    <m/>
    <m/>
    <n v="2889"/>
    <n v="2600.1"/>
    <n v="2925.1125000000002"/>
  </r>
  <r>
    <x v="13"/>
    <x v="0"/>
    <x v="0"/>
    <x v="405"/>
    <x v="12"/>
    <x v="0"/>
    <n v="31.47"/>
    <n v="3.7"/>
    <x v="0"/>
    <s v="DOMINIO"/>
    <x v="0"/>
    <m/>
    <m/>
    <n v="2831"/>
    <n v="2547.9"/>
    <n v="2866.3874999999998"/>
  </r>
  <r>
    <x v="13"/>
    <x v="0"/>
    <x v="0"/>
    <x v="36"/>
    <x v="13"/>
    <x v="0"/>
    <n v="31.5"/>
    <n v="3.81"/>
    <x v="3"/>
    <s v="DOMINIO"/>
    <x v="0"/>
    <m/>
    <m/>
    <n v="2895"/>
    <n v="2605.5"/>
    <n v="2931.1874999999995"/>
  </r>
  <r>
    <x v="13"/>
    <x v="0"/>
    <x v="0"/>
    <x v="37"/>
    <x v="13"/>
    <x v="0"/>
    <n v="31.44"/>
    <n v="3.73"/>
    <x v="3"/>
    <s v="DOMINIO"/>
    <x v="0"/>
    <m/>
    <m/>
    <n v="2895"/>
    <n v="2605.5"/>
    <n v="2931.1874999999995"/>
  </r>
  <r>
    <x v="13"/>
    <x v="0"/>
    <x v="0"/>
    <x v="230"/>
    <x v="13"/>
    <x v="0"/>
    <n v="31.47"/>
    <n v="3.7"/>
    <x v="0"/>
    <s v="DOMINIO"/>
    <x v="0"/>
    <m/>
    <m/>
    <n v="2836"/>
    <n v="2552.4"/>
    <n v="2871.45"/>
  </r>
  <r>
    <x v="13"/>
    <x v="0"/>
    <x v="0"/>
    <x v="41"/>
    <x v="14"/>
    <x v="0"/>
    <n v="31.5"/>
    <n v="3.81"/>
    <x v="3"/>
    <s v="DOMINIO"/>
    <x v="0"/>
    <m/>
    <m/>
    <n v="2901"/>
    <n v="2610.9"/>
    <n v="2937.2624999999998"/>
  </r>
  <r>
    <x v="13"/>
    <x v="0"/>
    <x v="0"/>
    <x v="42"/>
    <x v="14"/>
    <x v="0"/>
    <n v="31.42"/>
    <n v="3.76"/>
    <x v="3"/>
    <s v="DOMINIO"/>
    <x v="0"/>
    <m/>
    <m/>
    <n v="2901"/>
    <n v="2610.9"/>
    <n v="2937.2624999999998"/>
  </r>
  <r>
    <x v="13"/>
    <x v="0"/>
    <x v="0"/>
    <x v="545"/>
    <x v="14"/>
    <x v="0"/>
    <n v="31.44"/>
    <n v="3.73"/>
    <x v="0"/>
    <s v="DOMINIO"/>
    <x v="0"/>
    <m/>
    <m/>
    <n v="2842"/>
    <n v="2557.8000000000002"/>
    <n v="2877.5249999999996"/>
  </r>
  <r>
    <x v="13"/>
    <x v="0"/>
    <x v="0"/>
    <x v="46"/>
    <x v="15"/>
    <x v="0"/>
    <n v="31.5"/>
    <n v="3.81"/>
    <x v="3"/>
    <s v="DOMINIO"/>
    <x v="0"/>
    <m/>
    <m/>
    <n v="2907"/>
    <n v="2616.3000000000002"/>
    <n v="2943.3375000000001"/>
  </r>
  <r>
    <x v="13"/>
    <x v="0"/>
    <x v="0"/>
    <x v="47"/>
    <x v="15"/>
    <x v="0"/>
    <n v="31.42"/>
    <n v="3.76"/>
    <x v="3"/>
    <s v="DOMINIO"/>
    <x v="0"/>
    <m/>
    <m/>
    <n v="2907"/>
    <n v="2616.3000000000002"/>
    <n v="2943.3375000000001"/>
  </r>
  <r>
    <x v="13"/>
    <x v="0"/>
    <x v="0"/>
    <x v="234"/>
    <x v="15"/>
    <x v="0"/>
    <n v="31.44"/>
    <n v="3.73"/>
    <x v="0"/>
    <s v="DOMINIO"/>
    <x v="0"/>
    <m/>
    <m/>
    <n v="2848"/>
    <n v="2563.2000000000003"/>
    <n v="2883.6"/>
  </r>
  <r>
    <x v="13"/>
    <x v="0"/>
    <x v="0"/>
    <x v="51"/>
    <x v="16"/>
    <x v="0"/>
    <n v="31.5"/>
    <n v="3.81"/>
    <x v="3"/>
    <s v="DOMINIO"/>
    <x v="0"/>
    <m/>
    <m/>
    <n v="2913"/>
    <n v="2621.7000000000003"/>
    <n v="2949.4124999999999"/>
  </r>
  <r>
    <x v="13"/>
    <x v="0"/>
    <x v="0"/>
    <x v="52"/>
    <x v="16"/>
    <x v="0"/>
    <n v="31.42"/>
    <n v="3.76"/>
    <x v="3"/>
    <s v="DOMINIO"/>
    <x v="0"/>
    <m/>
    <m/>
    <n v="2913"/>
    <n v="2621.7000000000003"/>
    <n v="2949.4124999999999"/>
  </r>
  <r>
    <x v="13"/>
    <x v="0"/>
    <x v="0"/>
    <x v="658"/>
    <x v="16"/>
    <x v="0"/>
    <n v="31.44"/>
    <n v="3.73"/>
    <x v="0"/>
    <s v="DOMINIO"/>
    <x v="0"/>
    <m/>
    <m/>
    <n v="2854"/>
    <n v="2568.6"/>
    <n v="2889.6749999999997"/>
  </r>
  <r>
    <x v="13"/>
    <x v="0"/>
    <x v="0"/>
    <x v="56"/>
    <x v="17"/>
    <x v="0"/>
    <n v="31.5"/>
    <n v="3.81"/>
    <x v="3"/>
    <s v="DOMINIO"/>
    <x v="0"/>
    <m/>
    <m/>
    <n v="2919"/>
    <n v="2627.1"/>
    <n v="2955.4874999999997"/>
  </r>
  <r>
    <x v="13"/>
    <x v="0"/>
    <x v="0"/>
    <x v="57"/>
    <x v="17"/>
    <x v="0"/>
    <n v="31.42"/>
    <n v="3.76"/>
    <x v="3"/>
    <s v="DOMINIO"/>
    <x v="0"/>
    <m/>
    <m/>
    <n v="2919"/>
    <n v="2627.1"/>
    <n v="2955.4874999999997"/>
  </r>
  <r>
    <x v="13"/>
    <x v="0"/>
    <x v="0"/>
    <x v="659"/>
    <x v="17"/>
    <x v="0"/>
    <n v="31.44"/>
    <n v="3.73"/>
    <x v="0"/>
    <s v="DOMINIO"/>
    <x v="0"/>
    <m/>
    <m/>
    <n v="2860"/>
    <n v="2574"/>
    <n v="2895.7499999999995"/>
  </r>
  <r>
    <x v="13"/>
    <x v="0"/>
    <x v="0"/>
    <x v="61"/>
    <x v="1"/>
    <x v="0"/>
    <n v="31.5"/>
    <n v="3.81"/>
    <x v="3"/>
    <s v="DOMINIO"/>
    <x v="0"/>
    <m/>
    <m/>
    <n v="2925"/>
    <n v="2632.5"/>
    <n v="2961.5625"/>
  </r>
  <r>
    <x v="13"/>
    <x v="0"/>
    <x v="0"/>
    <x v="62"/>
    <x v="1"/>
    <x v="0"/>
    <n v="31.42"/>
    <n v="3.76"/>
    <x v="3"/>
    <s v="DOMINIO"/>
    <x v="0"/>
    <m/>
    <m/>
    <n v="2925"/>
    <n v="2632.5"/>
    <n v="2961.5625"/>
  </r>
  <r>
    <x v="13"/>
    <x v="0"/>
    <x v="0"/>
    <x v="660"/>
    <x v="1"/>
    <x v="0"/>
    <n v="31.44"/>
    <n v="3.73"/>
    <x v="0"/>
    <s v="DOMINIO"/>
    <x v="0"/>
    <m/>
    <m/>
    <n v="2866"/>
    <n v="2579.4"/>
    <n v="2901.8249999999998"/>
  </r>
  <r>
    <x v="13"/>
    <x v="0"/>
    <x v="0"/>
    <x v="65"/>
    <x v="18"/>
    <x v="0"/>
    <n v="31.5"/>
    <n v="3.81"/>
    <x v="3"/>
    <s v="DOMINIO"/>
    <x v="0"/>
    <m/>
    <m/>
    <n v="2931"/>
    <n v="2637.9"/>
    <n v="2967.6374999999998"/>
  </r>
  <r>
    <x v="13"/>
    <x v="0"/>
    <x v="0"/>
    <x v="66"/>
    <x v="18"/>
    <x v="0"/>
    <n v="31.42"/>
    <n v="3.76"/>
    <x v="3"/>
    <s v="DOMINIO"/>
    <x v="0"/>
    <m/>
    <m/>
    <n v="2931"/>
    <n v="2637.9"/>
    <n v="2967.6374999999998"/>
  </r>
  <r>
    <x v="13"/>
    <x v="0"/>
    <x v="0"/>
    <x v="661"/>
    <x v="18"/>
    <x v="0"/>
    <n v="31.44"/>
    <n v="3.73"/>
    <x v="0"/>
    <s v="DOMINIO"/>
    <x v="0"/>
    <m/>
    <m/>
    <n v="2872"/>
    <n v="2584.8000000000002"/>
    <n v="2907.9"/>
  </r>
  <r>
    <x v="13"/>
    <x v="0"/>
    <x v="1"/>
    <x v="198"/>
    <x v="6"/>
    <x v="0"/>
    <n v="27.32"/>
    <n v="0"/>
    <x v="3"/>
    <s v="DOMINIO"/>
    <x v="0"/>
    <m/>
    <m/>
    <n v="2455"/>
    <n v="2209.5"/>
    <n v="2485.6875"/>
  </r>
  <r>
    <x v="13"/>
    <x v="0"/>
    <x v="1"/>
    <x v="237"/>
    <x v="0"/>
    <x v="0"/>
    <n v="27.32"/>
    <n v="0"/>
    <x v="3"/>
    <s v="DOMINIO"/>
    <x v="0"/>
    <m/>
    <m/>
    <n v="2526"/>
    <n v="2273.4"/>
    <n v="2557.5749999999998"/>
  </r>
  <r>
    <x v="13"/>
    <x v="0"/>
    <x v="1"/>
    <x v="515"/>
    <x v="4"/>
    <x v="0"/>
    <n v="27.32"/>
    <n v="0"/>
    <x v="3"/>
    <s v="DOMINIO"/>
    <x v="0"/>
    <m/>
    <m/>
    <n v="2538"/>
    <n v="2284.2000000000003"/>
    <n v="2569.7249999999999"/>
  </r>
  <r>
    <x v="13"/>
    <x v="0"/>
    <x v="1"/>
    <x v="531"/>
    <x v="7"/>
    <x v="0"/>
    <n v="27.32"/>
    <n v="0"/>
    <x v="3"/>
    <s v="DOMINIO"/>
    <x v="0"/>
    <m/>
    <m/>
    <n v="2549"/>
    <n v="2294.1"/>
    <n v="2580.8624999999997"/>
  </r>
  <r>
    <x v="13"/>
    <x v="0"/>
    <x v="1"/>
    <x v="533"/>
    <x v="8"/>
    <x v="0"/>
    <n v="27.32"/>
    <n v="0"/>
    <x v="3"/>
    <s v="DOMINIO"/>
    <x v="0"/>
    <m/>
    <m/>
    <n v="2561"/>
    <n v="2304.9"/>
    <n v="2593.0124999999998"/>
  </r>
  <r>
    <x v="13"/>
    <x v="0"/>
    <x v="1"/>
    <x v="391"/>
    <x v="9"/>
    <x v="0"/>
    <n v="27.49"/>
    <n v="0"/>
    <x v="3"/>
    <s v="DOMINIO"/>
    <x v="0"/>
    <m/>
    <m/>
    <n v="2573"/>
    <n v="2315.7000000000003"/>
    <n v="2605.1624999999999"/>
  </r>
  <r>
    <x v="13"/>
    <x v="0"/>
    <x v="1"/>
    <x v="6"/>
    <x v="5"/>
    <x v="0"/>
    <n v="27.49"/>
    <n v="0"/>
    <x v="3"/>
    <s v="DOMINIO"/>
    <x v="0"/>
    <m/>
    <m/>
    <n v="2585"/>
    <n v="2326.5"/>
    <n v="2617.3124999999995"/>
  </r>
  <r>
    <x v="13"/>
    <x v="0"/>
    <x v="1"/>
    <x v="393"/>
    <x v="10"/>
    <x v="0"/>
    <n v="27.49"/>
    <n v="0"/>
    <x v="3"/>
    <s v="DOMINIO"/>
    <x v="0"/>
    <m/>
    <m/>
    <n v="2596"/>
    <n v="2336.4"/>
    <n v="2628.4500000000003"/>
  </r>
  <r>
    <x v="13"/>
    <x v="0"/>
    <x v="1"/>
    <x v="395"/>
    <x v="11"/>
    <x v="0"/>
    <n v="27.49"/>
    <n v="0"/>
    <x v="3"/>
    <s v="DOMINIO"/>
    <x v="0"/>
    <m/>
    <m/>
    <n v="2608"/>
    <n v="2347.2000000000003"/>
    <n v="2640.6000000000004"/>
  </r>
  <r>
    <x v="13"/>
    <x v="0"/>
    <x v="1"/>
    <x v="558"/>
    <x v="12"/>
    <x v="0"/>
    <n v="27.49"/>
    <n v="0"/>
    <x v="3"/>
    <s v="DOMINIO"/>
    <x v="0"/>
    <m/>
    <m/>
    <n v="2614"/>
    <n v="2352.6"/>
    <n v="2646.6750000000002"/>
  </r>
  <r>
    <x v="13"/>
    <x v="0"/>
    <x v="1"/>
    <x v="563"/>
    <x v="13"/>
    <x v="0"/>
    <n v="27.49"/>
    <n v="0"/>
    <x v="3"/>
    <s v="DOMINIO"/>
    <x v="0"/>
    <m/>
    <m/>
    <n v="2620"/>
    <n v="2358"/>
    <n v="2652.7499999999995"/>
  </r>
  <r>
    <x v="13"/>
    <x v="0"/>
    <x v="1"/>
    <x v="570"/>
    <x v="14"/>
    <x v="0"/>
    <n v="27.49"/>
    <n v="0"/>
    <x v="3"/>
    <s v="DOMINIO"/>
    <x v="0"/>
    <m/>
    <m/>
    <n v="2626"/>
    <n v="2363.4"/>
    <n v="2658.8249999999998"/>
  </r>
  <r>
    <x v="13"/>
    <x v="0"/>
    <x v="1"/>
    <x v="242"/>
    <x v="15"/>
    <x v="0"/>
    <n v="27.49"/>
    <n v="0"/>
    <x v="3"/>
    <s v="DOMINIO"/>
    <x v="0"/>
    <m/>
    <m/>
    <n v="2632"/>
    <n v="2368.8000000000002"/>
    <n v="2664.9"/>
  </r>
  <r>
    <x v="13"/>
    <x v="0"/>
    <x v="1"/>
    <x v="662"/>
    <x v="16"/>
    <x v="0"/>
    <n v="27.49"/>
    <n v="0"/>
    <x v="3"/>
    <s v="DOMINIO"/>
    <x v="0"/>
    <m/>
    <m/>
    <n v="2638"/>
    <n v="2374.2000000000003"/>
    <n v="2670.9749999999999"/>
  </r>
  <r>
    <x v="13"/>
    <x v="0"/>
    <x v="1"/>
    <x v="663"/>
    <x v="17"/>
    <x v="0"/>
    <n v="27.49"/>
    <n v="0"/>
    <x v="3"/>
    <s v="DOMINIO"/>
    <x v="0"/>
    <m/>
    <m/>
    <n v="2644"/>
    <n v="2379.6"/>
    <n v="2677.0499999999997"/>
  </r>
  <r>
    <x v="13"/>
    <x v="0"/>
    <x v="1"/>
    <x v="664"/>
    <x v="1"/>
    <x v="0"/>
    <n v="27.49"/>
    <n v="0"/>
    <x v="3"/>
    <s v="DOMINIO"/>
    <x v="0"/>
    <m/>
    <m/>
    <n v="2649"/>
    <n v="2384.1"/>
    <n v="2682.1124999999997"/>
  </r>
  <r>
    <x v="13"/>
    <x v="0"/>
    <x v="10"/>
    <x v="195"/>
    <x v="6"/>
    <x v="0"/>
    <n v="45.78"/>
    <n v="3.24"/>
    <x v="3"/>
    <s v="DOMINIO"/>
    <x v="0"/>
    <m/>
    <m/>
    <n v="3233"/>
    <n v="2909.7000000000003"/>
    <n v="3273.4125000000004"/>
  </r>
  <r>
    <x v="13"/>
    <x v="0"/>
    <x v="10"/>
    <x v="196"/>
    <x v="6"/>
    <x v="0"/>
    <n v="45.4"/>
    <n v="3.36"/>
    <x v="3"/>
    <s v="DOMINIO"/>
    <x v="0"/>
    <m/>
    <m/>
    <n v="3233"/>
    <n v="2909.7000000000003"/>
    <n v="3273.4125000000004"/>
  </r>
  <r>
    <x v="13"/>
    <x v="0"/>
    <x v="10"/>
    <x v="406"/>
    <x v="3"/>
    <x v="0"/>
    <n v="45.78"/>
    <n v="3.24"/>
    <x v="3"/>
    <s v="DOMINIO"/>
    <x v="0"/>
    <m/>
    <m/>
    <n v="3292"/>
    <n v="2962.8"/>
    <n v="3333.1499999999996"/>
  </r>
  <r>
    <x v="13"/>
    <x v="0"/>
    <x v="10"/>
    <x v="298"/>
    <x v="0"/>
    <x v="0"/>
    <n v="45.78"/>
    <n v="3.24"/>
    <x v="3"/>
    <s v="DOMINIO"/>
    <x v="0"/>
    <m/>
    <m/>
    <n v="3304"/>
    <n v="2973.6"/>
    <n v="3345.2999999999997"/>
  </r>
  <r>
    <x v="13"/>
    <x v="0"/>
    <x v="10"/>
    <x v="372"/>
    <x v="0"/>
    <x v="0"/>
    <n v="45.4"/>
    <n v="3.36"/>
    <x v="3"/>
    <s v="DOMINIO"/>
    <x v="0"/>
    <m/>
    <m/>
    <n v="3304"/>
    <n v="2973.6"/>
    <n v="3345.2999999999997"/>
  </r>
  <r>
    <x v="13"/>
    <x v="0"/>
    <x v="10"/>
    <x v="238"/>
    <x v="4"/>
    <x v="0"/>
    <n v="45.78"/>
    <n v="3.24"/>
    <x v="3"/>
    <s v="DOMINIO"/>
    <x v="0"/>
    <m/>
    <m/>
    <n v="3315"/>
    <n v="2983.5"/>
    <n v="3356.4375"/>
  </r>
  <r>
    <x v="13"/>
    <x v="0"/>
    <x v="10"/>
    <x v="8"/>
    <x v="4"/>
    <x v="0"/>
    <n v="45.4"/>
    <n v="3.36"/>
    <x v="3"/>
    <s v="DOMINIO"/>
    <x v="0"/>
    <m/>
    <m/>
    <n v="3315"/>
    <n v="2983.5"/>
    <n v="3356.4375"/>
  </r>
  <r>
    <x v="13"/>
    <x v="0"/>
    <x v="10"/>
    <x v="377"/>
    <x v="7"/>
    <x v="0"/>
    <n v="45.4"/>
    <n v="3.36"/>
    <x v="3"/>
    <s v="DOMINIO"/>
    <x v="0"/>
    <m/>
    <m/>
    <n v="3327"/>
    <n v="2994.3"/>
    <n v="3368.5875000000001"/>
  </r>
  <r>
    <x v="13"/>
    <x v="0"/>
    <x v="10"/>
    <x v="74"/>
    <x v="8"/>
    <x v="0"/>
    <n v="45.4"/>
    <n v="3.36"/>
    <x v="0"/>
    <s v="DOMINIO"/>
    <x v="0"/>
    <m/>
    <m/>
    <n v="3280"/>
    <n v="2952"/>
    <n v="3321"/>
  </r>
  <r>
    <x v="13"/>
    <x v="0"/>
    <x v="10"/>
    <x v="320"/>
    <x v="8"/>
    <x v="0"/>
    <n v="45.78"/>
    <n v="3.24"/>
    <x v="3"/>
    <s v="DOMINIO"/>
    <x v="0"/>
    <m/>
    <m/>
    <n v="3339"/>
    <n v="3005.1"/>
    <n v="3380.7375000000002"/>
  </r>
  <r>
    <x v="13"/>
    <x v="0"/>
    <x v="10"/>
    <x v="379"/>
    <x v="8"/>
    <x v="0"/>
    <n v="45.4"/>
    <n v="3.36"/>
    <x v="3"/>
    <s v="DOMINIO"/>
    <x v="0"/>
    <m/>
    <m/>
    <n v="3339"/>
    <n v="3005.1"/>
    <n v="3380.7375000000002"/>
  </r>
  <r>
    <x v="13"/>
    <x v="0"/>
    <x v="10"/>
    <x v="327"/>
    <x v="9"/>
    <x v="0"/>
    <n v="46.08"/>
    <n v="3.33"/>
    <x v="0"/>
    <s v="DOMINIO"/>
    <x v="0"/>
    <m/>
    <m/>
    <n v="3292"/>
    <n v="2962.8"/>
    <n v="3333.1499999999996"/>
  </r>
  <r>
    <x v="13"/>
    <x v="0"/>
    <x v="10"/>
    <x v="328"/>
    <x v="9"/>
    <x v="0"/>
    <n v="46.08"/>
    <n v="3.33"/>
    <x v="3"/>
    <s v="DOMINIO"/>
    <x v="0"/>
    <m/>
    <m/>
    <n v="3351"/>
    <n v="3015.9"/>
    <n v="3392.8874999999998"/>
  </r>
  <r>
    <x v="13"/>
    <x v="0"/>
    <x v="10"/>
    <x v="14"/>
    <x v="9"/>
    <x v="0"/>
    <n v="45.83"/>
    <n v="3.42"/>
    <x v="3"/>
    <s v="DOMINIO"/>
    <x v="0"/>
    <m/>
    <m/>
    <n v="3351"/>
    <n v="3015.9"/>
    <n v="3392.8874999999998"/>
  </r>
  <r>
    <x v="13"/>
    <x v="0"/>
    <x v="10"/>
    <x v="78"/>
    <x v="5"/>
    <x v="0"/>
    <n v="45.83"/>
    <n v="3.42"/>
    <x v="0"/>
    <s v="DOMINIO"/>
    <x v="0"/>
    <m/>
    <m/>
    <n v="3304"/>
    <n v="2973.6"/>
    <n v="3345.2999999999997"/>
  </r>
  <r>
    <x v="13"/>
    <x v="0"/>
    <x v="10"/>
    <x v="335"/>
    <x v="5"/>
    <x v="0"/>
    <n v="46.08"/>
    <n v="3.33"/>
    <x v="0"/>
    <s v="DOMINIO"/>
    <x v="0"/>
    <m/>
    <m/>
    <n v="3304"/>
    <n v="2973.6"/>
    <n v="3345.2999999999997"/>
  </r>
  <r>
    <x v="13"/>
    <x v="0"/>
    <x v="10"/>
    <x v="336"/>
    <x v="5"/>
    <x v="0"/>
    <n v="46.08"/>
    <n v="3.33"/>
    <x v="3"/>
    <s v="DOMINIO"/>
    <x v="0"/>
    <m/>
    <m/>
    <n v="3362"/>
    <n v="3025.8"/>
    <n v="3404.0250000000001"/>
  </r>
  <r>
    <x v="13"/>
    <x v="0"/>
    <x v="10"/>
    <x v="17"/>
    <x v="5"/>
    <x v="0"/>
    <n v="45.83"/>
    <n v="3.42"/>
    <x v="3"/>
    <s v="DOMINIO"/>
    <x v="0"/>
    <m/>
    <m/>
    <n v="3362"/>
    <n v="3025.8"/>
    <n v="3404.0250000000001"/>
  </r>
  <r>
    <x v="13"/>
    <x v="0"/>
    <x v="10"/>
    <x v="80"/>
    <x v="10"/>
    <x v="0"/>
    <n v="45.83"/>
    <n v="3.42"/>
    <x v="0"/>
    <s v="DOMINIO"/>
    <x v="0"/>
    <m/>
    <m/>
    <n v="3315"/>
    <n v="2983.5"/>
    <n v="3356.4375"/>
  </r>
  <r>
    <x v="13"/>
    <x v="0"/>
    <x v="10"/>
    <x v="240"/>
    <x v="10"/>
    <x v="0"/>
    <n v="46.08"/>
    <n v="3.33"/>
    <x v="0"/>
    <s v="DOMINIO"/>
    <x v="0"/>
    <m/>
    <m/>
    <n v="3315"/>
    <n v="2983.5"/>
    <n v="3356.4375"/>
  </r>
  <r>
    <x v="13"/>
    <x v="0"/>
    <x v="10"/>
    <x v="21"/>
    <x v="10"/>
    <x v="0"/>
    <n v="45.83"/>
    <n v="3.42"/>
    <x v="3"/>
    <s v="DOMINIO"/>
    <x v="0"/>
    <m/>
    <m/>
    <n v="3374"/>
    <n v="3036.6"/>
    <n v="3416.1749999999997"/>
  </r>
  <r>
    <x v="13"/>
    <x v="0"/>
    <x v="10"/>
    <x v="82"/>
    <x v="11"/>
    <x v="0"/>
    <n v="45.83"/>
    <n v="3.42"/>
    <x v="0"/>
    <s v="DOMINIO"/>
    <x v="0"/>
    <m/>
    <m/>
    <n v="3327"/>
    <n v="2994.3"/>
    <n v="3368.5875000000001"/>
  </r>
  <r>
    <x v="13"/>
    <x v="0"/>
    <x v="10"/>
    <x v="345"/>
    <x v="11"/>
    <x v="0"/>
    <n v="46.08"/>
    <n v="3.33"/>
    <x v="0"/>
    <s v="DOMINIO"/>
    <x v="0"/>
    <m/>
    <m/>
    <n v="3327"/>
    <n v="2994.3"/>
    <n v="3368.5875000000001"/>
  </r>
  <r>
    <x v="13"/>
    <x v="0"/>
    <x v="10"/>
    <x v="346"/>
    <x v="11"/>
    <x v="0"/>
    <n v="46.08"/>
    <n v="3.33"/>
    <x v="3"/>
    <s v="DOMINIO"/>
    <x v="0"/>
    <m/>
    <m/>
    <n v="3386"/>
    <n v="3047.4"/>
    <n v="3428.3249999999998"/>
  </r>
  <r>
    <x v="13"/>
    <x v="0"/>
    <x v="10"/>
    <x v="84"/>
    <x v="12"/>
    <x v="0"/>
    <n v="45.83"/>
    <n v="3.42"/>
    <x v="0"/>
    <s v="DOMINIO"/>
    <x v="0"/>
    <m/>
    <m/>
    <n v="3333"/>
    <n v="2999.7000000000003"/>
    <n v="3374.6625000000004"/>
  </r>
  <r>
    <x v="13"/>
    <x v="0"/>
    <x v="10"/>
    <x v="546"/>
    <x v="12"/>
    <x v="0"/>
    <n v="46.08"/>
    <n v="3.33"/>
    <x v="0"/>
    <s v="DOMINIO"/>
    <x v="0"/>
    <m/>
    <m/>
    <n v="3333"/>
    <n v="2999.7000000000003"/>
    <n v="3374.6625000000004"/>
  </r>
  <r>
    <x v="13"/>
    <x v="0"/>
    <x v="10"/>
    <x v="400"/>
    <x v="12"/>
    <x v="0"/>
    <n v="45.83"/>
    <n v="3.42"/>
    <x v="3"/>
    <s v="DOMINIO"/>
    <x v="0"/>
    <m/>
    <m/>
    <n v="3392"/>
    <n v="3052.8"/>
    <n v="3434.3999999999996"/>
  </r>
  <r>
    <x v="13"/>
    <x v="0"/>
    <x v="10"/>
    <x v="86"/>
    <x v="13"/>
    <x v="0"/>
    <n v="45.83"/>
    <n v="3.42"/>
    <x v="0"/>
    <s v="DOMINIO"/>
    <x v="0"/>
    <m/>
    <m/>
    <n v="3339"/>
    <n v="3005.1"/>
    <n v="3380.7375000000002"/>
  </r>
  <r>
    <x v="13"/>
    <x v="0"/>
    <x v="10"/>
    <x v="548"/>
    <x v="13"/>
    <x v="0"/>
    <n v="46.08"/>
    <n v="3.33"/>
    <x v="0"/>
    <s v="DOMINIO"/>
    <x v="0"/>
    <m/>
    <m/>
    <n v="3339"/>
    <n v="3005.1"/>
    <n v="3380.7375000000002"/>
  </r>
  <r>
    <x v="13"/>
    <x v="0"/>
    <x v="10"/>
    <x v="541"/>
    <x v="13"/>
    <x v="0"/>
    <n v="46.08"/>
    <n v="3.33"/>
    <x v="3"/>
    <s v="DOMINIO"/>
    <x v="0"/>
    <m/>
    <m/>
    <n v="3398"/>
    <n v="3058.2000000000003"/>
    <n v="3440.4749999999999"/>
  </r>
  <r>
    <x v="13"/>
    <x v="0"/>
    <x v="10"/>
    <x v="35"/>
    <x v="13"/>
    <x v="0"/>
    <n v="45.83"/>
    <n v="3.42"/>
    <x v="3"/>
    <s v="DOMINIO"/>
    <x v="0"/>
    <m/>
    <m/>
    <n v="3398"/>
    <n v="3058.2000000000003"/>
    <n v="3440.4749999999999"/>
  </r>
  <r>
    <x v="13"/>
    <x v="0"/>
    <x v="10"/>
    <x v="88"/>
    <x v="14"/>
    <x v="0"/>
    <n v="45.77"/>
    <n v="3.47"/>
    <x v="0"/>
    <s v="DOMINIO"/>
    <x v="0"/>
    <m/>
    <m/>
    <n v="3345"/>
    <n v="3010.5"/>
    <n v="3386.8124999999995"/>
  </r>
  <r>
    <x v="13"/>
    <x v="0"/>
    <x v="10"/>
    <x v="550"/>
    <x v="14"/>
    <x v="0"/>
    <n v="45.99"/>
    <n v="3.42"/>
    <x v="0"/>
    <s v="DOMINIO"/>
    <x v="0"/>
    <m/>
    <m/>
    <n v="3345"/>
    <n v="3010.5"/>
    <n v="3386.8124999999995"/>
  </r>
  <r>
    <x v="13"/>
    <x v="0"/>
    <x v="10"/>
    <x v="543"/>
    <x v="14"/>
    <x v="0"/>
    <n v="45.99"/>
    <n v="3.42"/>
    <x v="3"/>
    <s v="DOMINIO"/>
    <x v="0"/>
    <m/>
    <m/>
    <n v="3404"/>
    <n v="3063.6"/>
    <n v="3446.5499999999997"/>
  </r>
  <r>
    <x v="13"/>
    <x v="0"/>
    <x v="10"/>
    <x v="40"/>
    <x v="14"/>
    <x v="0"/>
    <n v="45.77"/>
    <n v="3.47"/>
    <x v="3"/>
    <s v="DOMINIO"/>
    <x v="0"/>
    <m/>
    <m/>
    <n v="3404"/>
    <n v="3063.6"/>
    <n v="3446.5499999999997"/>
  </r>
  <r>
    <x v="13"/>
    <x v="0"/>
    <x v="10"/>
    <x v="90"/>
    <x v="15"/>
    <x v="0"/>
    <n v="45.77"/>
    <n v="3.47"/>
    <x v="0"/>
    <s v="DOMINIO"/>
    <x v="0"/>
    <m/>
    <m/>
    <n v="3351"/>
    <n v="3015.9"/>
    <n v="3392.8874999999998"/>
  </r>
  <r>
    <x v="13"/>
    <x v="0"/>
    <x v="10"/>
    <x v="552"/>
    <x v="15"/>
    <x v="0"/>
    <n v="45.99"/>
    <n v="3.42"/>
    <x v="0"/>
    <s v="DOMINIO"/>
    <x v="0"/>
    <m/>
    <m/>
    <n v="3351"/>
    <n v="3015.9"/>
    <n v="3392.8874999999998"/>
  </r>
  <r>
    <x v="13"/>
    <x v="0"/>
    <x v="10"/>
    <x v="665"/>
    <x v="15"/>
    <x v="0"/>
    <n v="45.99"/>
    <n v="3.42"/>
    <x v="3"/>
    <s v="DOMINIO"/>
    <x v="0"/>
    <m/>
    <m/>
    <n v="3409"/>
    <n v="3068.1"/>
    <n v="3451.6124999999997"/>
  </r>
  <r>
    <x v="13"/>
    <x v="0"/>
    <x v="10"/>
    <x v="45"/>
    <x v="15"/>
    <x v="0"/>
    <n v="45.77"/>
    <n v="3.47"/>
    <x v="3"/>
    <s v="DOMINIO"/>
    <x v="0"/>
    <m/>
    <m/>
    <n v="3409"/>
    <n v="3068.1"/>
    <n v="3451.6124999999997"/>
  </r>
  <r>
    <x v="13"/>
    <x v="0"/>
    <x v="10"/>
    <x v="92"/>
    <x v="16"/>
    <x v="0"/>
    <n v="45.77"/>
    <n v="3.47"/>
    <x v="0"/>
    <s v="DOMINIO"/>
    <x v="0"/>
    <m/>
    <m/>
    <n v="3356"/>
    <n v="3020.4"/>
    <n v="3397.95"/>
  </r>
  <r>
    <x v="13"/>
    <x v="0"/>
    <x v="10"/>
    <x v="666"/>
    <x v="16"/>
    <x v="0"/>
    <n v="45.99"/>
    <n v="3.42"/>
    <x v="0"/>
    <s v="DOMINIO"/>
    <x v="0"/>
    <m/>
    <m/>
    <n v="3356"/>
    <n v="3020.4"/>
    <n v="3397.95"/>
  </r>
  <r>
    <x v="13"/>
    <x v="0"/>
    <x v="10"/>
    <x v="667"/>
    <x v="16"/>
    <x v="0"/>
    <n v="45.99"/>
    <n v="3.42"/>
    <x v="3"/>
    <s v="DOMINIO"/>
    <x v="0"/>
    <m/>
    <m/>
    <n v="3415"/>
    <n v="3073.5"/>
    <n v="3457.6875"/>
  </r>
  <r>
    <x v="13"/>
    <x v="0"/>
    <x v="10"/>
    <x v="50"/>
    <x v="16"/>
    <x v="0"/>
    <n v="45.77"/>
    <n v="3.47"/>
    <x v="3"/>
    <s v="DOMINIO"/>
    <x v="0"/>
    <m/>
    <m/>
    <n v="3415"/>
    <n v="3073.5"/>
    <n v="3457.6875"/>
  </r>
  <r>
    <x v="13"/>
    <x v="0"/>
    <x v="10"/>
    <x v="94"/>
    <x v="17"/>
    <x v="0"/>
    <n v="45.77"/>
    <n v="3.47"/>
    <x v="0"/>
    <s v="DOMINIO"/>
    <x v="0"/>
    <m/>
    <m/>
    <n v="3362"/>
    <n v="3025.8"/>
    <n v="3404.0250000000001"/>
  </r>
  <r>
    <x v="13"/>
    <x v="0"/>
    <x v="10"/>
    <x v="668"/>
    <x v="17"/>
    <x v="0"/>
    <n v="45.99"/>
    <n v="3.42"/>
    <x v="0"/>
    <s v="DOMINIO"/>
    <x v="0"/>
    <m/>
    <m/>
    <n v="3362"/>
    <n v="3025.8"/>
    <n v="3404.0250000000001"/>
  </r>
  <r>
    <x v="13"/>
    <x v="0"/>
    <x v="10"/>
    <x v="669"/>
    <x v="17"/>
    <x v="0"/>
    <n v="45.99"/>
    <n v="3.42"/>
    <x v="3"/>
    <s v="DOMINIO"/>
    <x v="0"/>
    <m/>
    <m/>
    <n v="3421"/>
    <n v="3078.9"/>
    <n v="3463.7625000000003"/>
  </r>
  <r>
    <x v="13"/>
    <x v="0"/>
    <x v="10"/>
    <x v="55"/>
    <x v="17"/>
    <x v="0"/>
    <n v="45.77"/>
    <n v="3.47"/>
    <x v="3"/>
    <s v="DOMINIO"/>
    <x v="0"/>
    <m/>
    <m/>
    <n v="3421"/>
    <n v="3078.9"/>
    <n v="3463.7625000000003"/>
  </r>
  <r>
    <x v="13"/>
    <x v="0"/>
    <x v="10"/>
    <x v="96"/>
    <x v="1"/>
    <x v="0"/>
    <n v="45.77"/>
    <n v="3.47"/>
    <x v="0"/>
    <s v="DOMINIO"/>
    <x v="0"/>
    <m/>
    <m/>
    <n v="3368"/>
    <n v="3031.2000000000003"/>
    <n v="3410.1000000000004"/>
  </r>
  <r>
    <x v="13"/>
    <x v="0"/>
    <x v="10"/>
    <x v="670"/>
    <x v="1"/>
    <x v="0"/>
    <n v="45.99"/>
    <n v="3.42"/>
    <x v="0"/>
    <s v="DOMINIO"/>
    <x v="0"/>
    <m/>
    <m/>
    <n v="3368"/>
    <n v="3031.2000000000003"/>
    <n v="3410.1000000000004"/>
  </r>
  <r>
    <x v="13"/>
    <x v="0"/>
    <x v="10"/>
    <x v="671"/>
    <x v="1"/>
    <x v="0"/>
    <n v="45.99"/>
    <n v="3.42"/>
    <x v="3"/>
    <s v="DOMINIO"/>
    <x v="0"/>
    <m/>
    <m/>
    <n v="3427"/>
    <n v="3084.3"/>
    <n v="3469.8374999999996"/>
  </r>
  <r>
    <x v="13"/>
    <x v="0"/>
    <x v="10"/>
    <x v="60"/>
    <x v="1"/>
    <x v="0"/>
    <n v="45.77"/>
    <n v="3.47"/>
    <x v="3"/>
    <s v="DOMINIO"/>
    <x v="0"/>
    <m/>
    <m/>
    <n v="3427"/>
    <n v="3084.3"/>
    <n v="3469.8374999999996"/>
  </r>
  <r>
    <x v="13"/>
    <x v="0"/>
    <x v="10"/>
    <x v="98"/>
    <x v="18"/>
    <x v="0"/>
    <n v="45.77"/>
    <n v="3.47"/>
    <x v="0"/>
    <s v="DOMINIO"/>
    <x v="0"/>
    <m/>
    <m/>
    <n v="3374"/>
    <n v="3036.6"/>
    <n v="3416.1749999999997"/>
  </r>
  <r>
    <x v="13"/>
    <x v="0"/>
    <x v="10"/>
    <x v="672"/>
    <x v="18"/>
    <x v="0"/>
    <n v="45.99"/>
    <n v="3.42"/>
    <x v="0"/>
    <s v="DOMINIO"/>
    <x v="0"/>
    <m/>
    <m/>
    <n v="3374"/>
    <n v="3036.6"/>
    <n v="3416.1749999999997"/>
  </r>
  <r>
    <x v="13"/>
    <x v="0"/>
    <x v="10"/>
    <x v="673"/>
    <x v="18"/>
    <x v="0"/>
    <n v="45.99"/>
    <n v="3.42"/>
    <x v="3"/>
    <s v="DOMINIO"/>
    <x v="0"/>
    <m/>
    <m/>
    <n v="3433"/>
    <n v="3089.7000000000003"/>
    <n v="3475.9125000000004"/>
  </r>
  <r>
    <x v="13"/>
    <x v="0"/>
    <x v="10"/>
    <x v="64"/>
    <x v="18"/>
    <x v="0"/>
    <n v="45.77"/>
    <n v="3.47"/>
    <x v="3"/>
    <s v="DOMINIO"/>
    <x v="0"/>
    <m/>
    <m/>
    <n v="3433"/>
    <n v="3089.7000000000003"/>
    <n v="3475.9125000000004"/>
  </r>
  <r>
    <x v="13"/>
    <x v="0"/>
    <x v="4"/>
    <x v="201"/>
    <x v="6"/>
    <x v="0"/>
    <n v="43.77"/>
    <n v="2.96"/>
    <x v="3"/>
    <s v="DOMINIO"/>
    <x v="0"/>
    <m/>
    <m/>
    <n v="3006"/>
    <n v="2705.4"/>
    <n v="3043.5749999999998"/>
  </r>
  <r>
    <x v="13"/>
    <x v="0"/>
    <x v="4"/>
    <x v="202"/>
    <x v="6"/>
    <x v="0"/>
    <n v="44.37"/>
    <n v="2.9"/>
    <x v="3"/>
    <s v="DOMINIO"/>
    <x v="0"/>
    <m/>
    <m/>
    <n v="3006"/>
    <n v="2705.4"/>
    <n v="3043.5749999999998"/>
  </r>
  <r>
    <x v="13"/>
    <x v="0"/>
    <x v="4"/>
    <x v="439"/>
    <x v="3"/>
    <x v="0"/>
    <n v="43.57"/>
    <n v="3.02"/>
    <x v="3"/>
    <s v="DOMINIO"/>
    <x v="0"/>
    <m/>
    <m/>
    <n v="3065"/>
    <n v="2758.5"/>
    <n v="3103.3125"/>
  </r>
  <r>
    <x v="13"/>
    <x v="0"/>
    <x v="4"/>
    <x v="292"/>
    <x v="3"/>
    <x v="0"/>
    <n v="43.77"/>
    <n v="2.96"/>
    <x v="3"/>
    <s v="DOMINIO"/>
    <x v="0"/>
    <m/>
    <m/>
    <n v="3065"/>
    <n v="2758.5"/>
    <n v="3103.3125"/>
  </r>
  <r>
    <x v="13"/>
    <x v="0"/>
    <x v="4"/>
    <x v="293"/>
    <x v="3"/>
    <x v="0"/>
    <n v="44.37"/>
    <n v="2.9"/>
    <x v="0"/>
    <s v="DOMINIO"/>
    <x v="0"/>
    <m/>
    <m/>
    <n v="3006"/>
    <n v="2705.4"/>
    <n v="3043.5749999999998"/>
  </r>
  <r>
    <x v="13"/>
    <x v="0"/>
    <x v="4"/>
    <x v="279"/>
    <x v="0"/>
    <x v="0"/>
    <n v="43.57"/>
    <n v="3.02"/>
    <x v="3"/>
    <s v="DOMINIO"/>
    <x v="0"/>
    <m/>
    <m/>
    <n v="3076"/>
    <n v="2768.4"/>
    <n v="3114.45"/>
  </r>
  <r>
    <x v="13"/>
    <x v="0"/>
    <x v="4"/>
    <x v="300"/>
    <x v="0"/>
    <x v="0"/>
    <n v="43.77"/>
    <n v="2.96"/>
    <x v="3"/>
    <s v="DOMINIO"/>
    <x v="0"/>
    <m/>
    <m/>
    <n v="3076"/>
    <n v="2768.4"/>
    <n v="3114.45"/>
  </r>
  <r>
    <x v="13"/>
    <x v="0"/>
    <x v="4"/>
    <x v="402"/>
    <x v="0"/>
    <x v="0"/>
    <n v="44.37"/>
    <n v="2.9"/>
    <x v="3"/>
    <s v="DOMINIO"/>
    <x v="0"/>
    <m/>
    <m/>
    <n v="3076"/>
    <n v="2768.4"/>
    <n v="3114.45"/>
  </r>
  <r>
    <x v="13"/>
    <x v="0"/>
    <x v="4"/>
    <x v="229"/>
    <x v="0"/>
    <x v="0"/>
    <n v="43.77"/>
    <n v="2.96"/>
    <x v="0"/>
    <s v="DOMINIO"/>
    <x v="0"/>
    <m/>
    <m/>
    <n v="3018"/>
    <n v="2716.2000000000003"/>
    <n v="3055.7250000000004"/>
  </r>
  <r>
    <x v="13"/>
    <x v="0"/>
    <x v="4"/>
    <x v="281"/>
    <x v="4"/>
    <x v="0"/>
    <n v="43.57"/>
    <n v="3.02"/>
    <x v="3"/>
    <s v="DOMINIO"/>
    <x v="0"/>
    <m/>
    <m/>
    <n v="3088"/>
    <n v="2779.2000000000003"/>
    <n v="3126.6"/>
  </r>
  <r>
    <x v="13"/>
    <x v="0"/>
    <x v="4"/>
    <x v="306"/>
    <x v="4"/>
    <x v="0"/>
    <n v="43.77"/>
    <n v="2.96"/>
    <x v="3"/>
    <s v="DOMINIO"/>
    <x v="0"/>
    <m/>
    <m/>
    <n v="3088"/>
    <n v="2779.2000000000003"/>
    <n v="3126.6"/>
  </r>
  <r>
    <x v="13"/>
    <x v="0"/>
    <x v="4"/>
    <x v="307"/>
    <x v="4"/>
    <x v="0"/>
    <n v="44.37"/>
    <n v="2.9"/>
    <x v="0"/>
    <s v="DOMINIO"/>
    <x v="0"/>
    <m/>
    <m/>
    <n v="3029"/>
    <n v="2726.1"/>
    <n v="3066.8624999999997"/>
  </r>
  <r>
    <x v="13"/>
    <x v="0"/>
    <x v="4"/>
    <x v="283"/>
    <x v="7"/>
    <x v="0"/>
    <n v="43.57"/>
    <n v="3.02"/>
    <x v="3"/>
    <s v="DOMINIO"/>
    <x v="0"/>
    <m/>
    <m/>
    <n v="3100"/>
    <n v="2790"/>
    <n v="3138.75"/>
  </r>
  <r>
    <x v="13"/>
    <x v="0"/>
    <x v="4"/>
    <x v="314"/>
    <x v="7"/>
    <x v="0"/>
    <n v="43.77"/>
    <n v="2.96"/>
    <x v="3"/>
    <s v="DOMINIO"/>
    <x v="0"/>
    <m/>
    <m/>
    <n v="3100"/>
    <n v="2790"/>
    <n v="3138.75"/>
  </r>
  <r>
    <x v="13"/>
    <x v="0"/>
    <x v="4"/>
    <x v="532"/>
    <x v="7"/>
    <x v="0"/>
    <n v="44.37"/>
    <n v="2.9"/>
    <x v="3"/>
    <s v="DOMINIO"/>
    <x v="0"/>
    <m/>
    <m/>
    <n v="3100"/>
    <n v="2790"/>
    <n v="3138.75"/>
  </r>
  <r>
    <x v="13"/>
    <x v="0"/>
    <x v="4"/>
    <x v="11"/>
    <x v="7"/>
    <x v="0"/>
    <n v="43.77"/>
    <n v="2.96"/>
    <x v="0"/>
    <s v="DOMINIO"/>
    <x v="0"/>
    <m/>
    <m/>
    <n v="3041"/>
    <n v="2736.9"/>
    <n v="3079.0124999999998"/>
  </r>
  <r>
    <x v="13"/>
    <x v="0"/>
    <x v="4"/>
    <x v="285"/>
    <x v="8"/>
    <x v="0"/>
    <n v="43.57"/>
    <n v="3.02"/>
    <x v="3"/>
    <s v="DOMINIO"/>
    <x v="0"/>
    <m/>
    <m/>
    <n v="3112"/>
    <n v="2800.8"/>
    <n v="3150.9"/>
  </r>
  <r>
    <x v="13"/>
    <x v="0"/>
    <x v="4"/>
    <x v="322"/>
    <x v="8"/>
    <x v="0"/>
    <n v="43.77"/>
    <n v="2.96"/>
    <x v="3"/>
    <s v="DOMINIO"/>
    <x v="0"/>
    <m/>
    <m/>
    <n v="3112"/>
    <n v="2800.8"/>
    <n v="3150.9"/>
  </r>
  <r>
    <x v="13"/>
    <x v="0"/>
    <x v="4"/>
    <x v="380"/>
    <x v="8"/>
    <x v="0"/>
    <n v="44.37"/>
    <n v="2.9"/>
    <x v="3"/>
    <s v="DOMINIO"/>
    <x v="0"/>
    <m/>
    <m/>
    <n v="3112"/>
    <n v="2800.8"/>
    <n v="3150.9"/>
  </r>
  <r>
    <x v="13"/>
    <x v="0"/>
    <x v="4"/>
    <x v="323"/>
    <x v="8"/>
    <x v="0"/>
    <n v="44.37"/>
    <n v="2.9"/>
    <x v="0"/>
    <s v="DOMINIO"/>
    <x v="0"/>
    <m/>
    <m/>
    <n v="3053"/>
    <n v="2747.7000000000003"/>
    <n v="3091.1625000000004"/>
  </r>
  <r>
    <x v="13"/>
    <x v="0"/>
    <x v="4"/>
    <x v="75"/>
    <x v="9"/>
    <x v="0"/>
    <n v="44"/>
    <n v="3.05"/>
    <x v="0"/>
    <s v="DOMINIO"/>
    <x v="0"/>
    <m/>
    <m/>
    <n v="3065"/>
    <n v="2758.5"/>
    <n v="3103.3125"/>
  </r>
  <r>
    <x v="13"/>
    <x v="0"/>
    <x v="4"/>
    <x v="286"/>
    <x v="9"/>
    <x v="0"/>
    <n v="44"/>
    <n v="3.05"/>
    <x v="3"/>
    <s v="DOMINIO"/>
    <x v="0"/>
    <m/>
    <m/>
    <n v="3124"/>
    <n v="2811.6"/>
    <n v="3163.0499999999997"/>
  </r>
  <r>
    <x v="13"/>
    <x v="0"/>
    <x v="4"/>
    <x v="16"/>
    <x v="9"/>
    <x v="0"/>
    <n v="44.19"/>
    <n v="3.02"/>
    <x v="0"/>
    <s v="DOMINIO"/>
    <x v="0"/>
    <m/>
    <m/>
    <n v="3065"/>
    <n v="2758.5"/>
    <n v="3103.3125"/>
  </r>
  <r>
    <x v="13"/>
    <x v="0"/>
    <x v="4"/>
    <x v="77"/>
    <x v="5"/>
    <x v="0"/>
    <n v="44"/>
    <n v="3.05"/>
    <x v="0"/>
    <s v="DOMINIO"/>
    <x v="0"/>
    <m/>
    <m/>
    <n v="3076"/>
    <n v="2768.4"/>
    <n v="3114.45"/>
  </r>
  <r>
    <x v="13"/>
    <x v="0"/>
    <x v="4"/>
    <x v="287"/>
    <x v="5"/>
    <x v="0"/>
    <n v="44"/>
    <n v="3.05"/>
    <x v="3"/>
    <s v="DOMINIO"/>
    <x v="0"/>
    <m/>
    <m/>
    <n v="3135"/>
    <n v="2821.5"/>
    <n v="3174.1874999999995"/>
  </r>
  <r>
    <x v="13"/>
    <x v="0"/>
    <x v="4"/>
    <x v="337"/>
    <x v="5"/>
    <x v="0"/>
    <n v="44.19"/>
    <n v="3.02"/>
    <x v="3"/>
    <s v="DOMINIO"/>
    <x v="0"/>
    <m/>
    <m/>
    <n v="3135"/>
    <n v="2821.5"/>
    <n v="3174.1874999999995"/>
  </r>
  <r>
    <x v="13"/>
    <x v="0"/>
    <x v="4"/>
    <x v="382"/>
    <x v="5"/>
    <x v="0"/>
    <n v="44.66"/>
    <n v="2.99"/>
    <x v="3"/>
    <s v="DOMINIO"/>
    <x v="0"/>
    <m/>
    <m/>
    <n v="3135"/>
    <n v="2821.5"/>
    <n v="3174.1874999999995"/>
  </r>
  <r>
    <x v="13"/>
    <x v="0"/>
    <x v="4"/>
    <x v="338"/>
    <x v="5"/>
    <x v="0"/>
    <n v="44.66"/>
    <n v="2.99"/>
    <x v="0"/>
    <s v="DOMINIO"/>
    <x v="0"/>
    <m/>
    <m/>
    <n v="3076"/>
    <n v="2768.4"/>
    <n v="3114.45"/>
  </r>
  <r>
    <x v="13"/>
    <x v="0"/>
    <x v="4"/>
    <x v="20"/>
    <x v="5"/>
    <x v="0"/>
    <n v="44.19"/>
    <n v="3.02"/>
    <x v="0"/>
    <s v="DOMINIO"/>
    <x v="0"/>
    <m/>
    <m/>
    <n v="3076"/>
    <n v="2768.4"/>
    <n v="3114.45"/>
  </r>
  <r>
    <x v="13"/>
    <x v="0"/>
    <x v="4"/>
    <x v="79"/>
    <x v="10"/>
    <x v="0"/>
    <n v="44"/>
    <n v="3.05"/>
    <x v="0"/>
    <s v="DOMINIO"/>
    <x v="0"/>
    <m/>
    <m/>
    <n v="3088"/>
    <n v="2779.2000000000003"/>
    <n v="3126.6"/>
  </r>
  <r>
    <x v="13"/>
    <x v="0"/>
    <x v="4"/>
    <x v="288"/>
    <x v="10"/>
    <x v="0"/>
    <n v="44"/>
    <n v="3.05"/>
    <x v="3"/>
    <s v="DOMINIO"/>
    <x v="0"/>
    <m/>
    <m/>
    <n v="3147"/>
    <n v="2832.3"/>
    <n v="3186.3375000000001"/>
  </r>
  <r>
    <x v="13"/>
    <x v="0"/>
    <x v="4"/>
    <x v="341"/>
    <x v="10"/>
    <x v="0"/>
    <n v="44.19"/>
    <n v="3.02"/>
    <x v="3"/>
    <s v="DOMINIO"/>
    <x v="0"/>
    <m/>
    <m/>
    <n v="3147"/>
    <n v="2832.3"/>
    <n v="3186.3375000000001"/>
  </r>
  <r>
    <x v="13"/>
    <x v="0"/>
    <x v="4"/>
    <x v="384"/>
    <x v="10"/>
    <x v="0"/>
    <n v="44.66"/>
    <n v="2.99"/>
    <x v="3"/>
    <s v="DOMINIO"/>
    <x v="0"/>
    <m/>
    <m/>
    <n v="3147"/>
    <n v="2832.3"/>
    <n v="3186.3375000000001"/>
  </r>
  <r>
    <x v="13"/>
    <x v="0"/>
    <x v="4"/>
    <x v="342"/>
    <x v="10"/>
    <x v="0"/>
    <n v="44.66"/>
    <n v="2.99"/>
    <x v="0"/>
    <s v="DOMINIO"/>
    <x v="0"/>
    <m/>
    <m/>
    <n v="3088"/>
    <n v="2779.2000000000003"/>
    <n v="3126.6"/>
  </r>
  <r>
    <x v="13"/>
    <x v="0"/>
    <x v="4"/>
    <x v="24"/>
    <x v="10"/>
    <x v="0"/>
    <n v="44.19"/>
    <n v="3.02"/>
    <x v="0"/>
    <s v="DOMINIO"/>
    <x v="0"/>
    <m/>
    <m/>
    <n v="3088"/>
    <n v="2779.2000000000003"/>
    <n v="3126.6"/>
  </r>
  <r>
    <x v="13"/>
    <x v="0"/>
    <x v="4"/>
    <x v="81"/>
    <x v="11"/>
    <x v="0"/>
    <n v="44"/>
    <n v="3.05"/>
    <x v="0"/>
    <s v="DOMINIO"/>
    <x v="0"/>
    <m/>
    <m/>
    <n v="3100"/>
    <n v="2790"/>
    <n v="3138.75"/>
  </r>
  <r>
    <x v="13"/>
    <x v="0"/>
    <x v="4"/>
    <x v="289"/>
    <x v="11"/>
    <x v="0"/>
    <n v="44"/>
    <n v="3.05"/>
    <x v="3"/>
    <s v="DOMINIO"/>
    <x v="0"/>
    <m/>
    <m/>
    <n v="3159"/>
    <n v="2843.1"/>
    <n v="3198.4874999999997"/>
  </r>
  <r>
    <x v="13"/>
    <x v="0"/>
    <x v="4"/>
    <x v="347"/>
    <x v="11"/>
    <x v="0"/>
    <n v="44.19"/>
    <n v="3.02"/>
    <x v="3"/>
    <s v="DOMINIO"/>
    <x v="0"/>
    <m/>
    <m/>
    <n v="3159"/>
    <n v="2843.1"/>
    <n v="3198.4874999999997"/>
  </r>
  <r>
    <x v="13"/>
    <x v="0"/>
    <x v="4"/>
    <x v="386"/>
    <x v="11"/>
    <x v="0"/>
    <n v="44.66"/>
    <n v="2.99"/>
    <x v="3"/>
    <s v="DOMINIO"/>
    <x v="0"/>
    <m/>
    <m/>
    <n v="3159"/>
    <n v="2843.1"/>
    <n v="3198.4874999999997"/>
  </r>
  <r>
    <x v="13"/>
    <x v="0"/>
    <x v="4"/>
    <x v="348"/>
    <x v="11"/>
    <x v="0"/>
    <n v="44.66"/>
    <n v="2.99"/>
    <x v="0"/>
    <s v="DOMINIO"/>
    <x v="0"/>
    <m/>
    <m/>
    <n v="3100"/>
    <n v="2790"/>
    <n v="3138.75"/>
  </r>
  <r>
    <x v="13"/>
    <x v="0"/>
    <x v="4"/>
    <x v="29"/>
    <x v="11"/>
    <x v="0"/>
    <n v="44.19"/>
    <n v="3.02"/>
    <x v="0"/>
    <s v="DOMINIO"/>
    <x v="0"/>
    <m/>
    <m/>
    <n v="3100"/>
    <n v="2790"/>
    <n v="3138.75"/>
  </r>
  <r>
    <x v="13"/>
    <x v="0"/>
    <x v="4"/>
    <x v="83"/>
    <x v="12"/>
    <x v="0"/>
    <n v="44"/>
    <n v="3.05"/>
    <x v="0"/>
    <s v="DOMINIO"/>
    <x v="0"/>
    <m/>
    <m/>
    <n v="3106"/>
    <n v="2795.4"/>
    <n v="3144.8249999999998"/>
  </r>
  <r>
    <x v="13"/>
    <x v="0"/>
    <x v="4"/>
    <x v="536"/>
    <x v="12"/>
    <x v="0"/>
    <n v="44"/>
    <n v="3.05"/>
    <x v="3"/>
    <s v="DOMINIO"/>
    <x v="0"/>
    <m/>
    <m/>
    <n v="3165"/>
    <n v="2848.5"/>
    <n v="3204.5625"/>
  </r>
  <r>
    <x v="13"/>
    <x v="0"/>
    <x v="4"/>
    <x v="674"/>
    <x v="12"/>
    <x v="0"/>
    <n v="44.19"/>
    <n v="3.02"/>
    <x v="3"/>
    <s v="DOMINIO"/>
    <x v="0"/>
    <m/>
    <m/>
    <n v="3165"/>
    <n v="2848.5"/>
    <n v="3204.5625"/>
  </r>
  <r>
    <x v="13"/>
    <x v="0"/>
    <x v="4"/>
    <x v="559"/>
    <x v="12"/>
    <x v="0"/>
    <n v="44.66"/>
    <n v="2.99"/>
    <x v="3"/>
    <s v="DOMINIO"/>
    <x v="0"/>
    <m/>
    <m/>
    <n v="3165"/>
    <n v="2848.5"/>
    <n v="3204.5625"/>
  </r>
  <r>
    <x v="13"/>
    <x v="0"/>
    <x v="4"/>
    <x v="404"/>
    <x v="12"/>
    <x v="0"/>
    <n v="44.66"/>
    <n v="2.99"/>
    <x v="0"/>
    <s v="DOMINIO"/>
    <x v="0"/>
    <m/>
    <m/>
    <n v="3106"/>
    <n v="2795.4"/>
    <n v="3144.8249999999998"/>
  </r>
  <r>
    <x v="13"/>
    <x v="0"/>
    <x v="4"/>
    <x v="33"/>
    <x v="12"/>
    <x v="0"/>
    <n v="44.19"/>
    <n v="3.02"/>
    <x v="0"/>
    <s v="DOMINIO"/>
    <x v="0"/>
    <m/>
    <m/>
    <n v="3106"/>
    <n v="2795.4"/>
    <n v="3144.8249999999998"/>
  </r>
  <r>
    <x v="13"/>
    <x v="0"/>
    <x v="4"/>
    <x v="85"/>
    <x v="13"/>
    <x v="0"/>
    <n v="44"/>
    <n v="3.05"/>
    <x v="0"/>
    <s v="DOMINIO"/>
    <x v="0"/>
    <m/>
    <m/>
    <n v="3112"/>
    <n v="2800.8"/>
    <n v="3150.9"/>
  </r>
  <r>
    <x v="13"/>
    <x v="0"/>
    <x v="4"/>
    <x v="537"/>
    <x v="13"/>
    <x v="0"/>
    <n v="44"/>
    <n v="3.05"/>
    <x v="3"/>
    <s v="DOMINIO"/>
    <x v="0"/>
    <m/>
    <m/>
    <n v="3171"/>
    <n v="2853.9"/>
    <n v="3210.6375000000003"/>
  </r>
  <r>
    <x v="13"/>
    <x v="0"/>
    <x v="4"/>
    <x v="538"/>
    <x v="13"/>
    <x v="0"/>
    <n v="44.19"/>
    <n v="3.02"/>
    <x v="3"/>
    <s v="DOMINIO"/>
    <x v="0"/>
    <m/>
    <m/>
    <n v="3171"/>
    <n v="2853.9"/>
    <n v="3210.6375000000003"/>
  </r>
  <r>
    <x v="13"/>
    <x v="0"/>
    <x v="4"/>
    <x v="564"/>
    <x v="13"/>
    <x v="0"/>
    <n v="44.66"/>
    <n v="2.99"/>
    <x v="3"/>
    <s v="DOMINIO"/>
    <x v="0"/>
    <m/>
    <m/>
    <n v="3171"/>
    <n v="2853.9"/>
    <n v="3210.6375000000003"/>
  </r>
  <r>
    <x v="13"/>
    <x v="0"/>
    <x v="4"/>
    <x v="542"/>
    <x v="13"/>
    <x v="0"/>
    <n v="44.66"/>
    <n v="2.99"/>
    <x v="0"/>
    <s v="DOMINIO"/>
    <x v="0"/>
    <m/>
    <m/>
    <n v="3112"/>
    <n v="2800.8"/>
    <n v="3150.9"/>
  </r>
  <r>
    <x v="13"/>
    <x v="0"/>
    <x v="4"/>
    <x v="38"/>
    <x v="13"/>
    <x v="0"/>
    <n v="44.19"/>
    <n v="3.02"/>
    <x v="0"/>
    <s v="DOMINIO"/>
    <x v="0"/>
    <m/>
    <m/>
    <n v="3112"/>
    <n v="2800.8"/>
    <n v="3150.9"/>
  </r>
  <r>
    <x v="13"/>
    <x v="0"/>
    <x v="4"/>
    <x v="87"/>
    <x v="14"/>
    <x v="0"/>
    <n v="43.97"/>
    <n v="3.08"/>
    <x v="0"/>
    <s v="DOMINIO"/>
    <x v="0"/>
    <m/>
    <m/>
    <n v="3118"/>
    <n v="2806.2000000000003"/>
    <n v="3156.9750000000004"/>
  </r>
  <r>
    <x v="13"/>
    <x v="0"/>
    <x v="4"/>
    <x v="539"/>
    <x v="14"/>
    <x v="0"/>
    <n v="43.97"/>
    <n v="3.08"/>
    <x v="3"/>
    <s v="DOMINIO"/>
    <x v="0"/>
    <m/>
    <m/>
    <n v="3176"/>
    <n v="2858.4"/>
    <n v="3215.7"/>
  </r>
  <r>
    <x v="13"/>
    <x v="0"/>
    <x v="4"/>
    <x v="540"/>
    <x v="14"/>
    <x v="0"/>
    <n v="44.12"/>
    <n v="3.08"/>
    <x v="3"/>
    <s v="DOMINIO"/>
    <x v="0"/>
    <m/>
    <m/>
    <n v="3176"/>
    <n v="2858.4"/>
    <n v="3215.7"/>
  </r>
  <r>
    <x v="13"/>
    <x v="0"/>
    <x v="4"/>
    <x v="571"/>
    <x v="14"/>
    <x v="0"/>
    <n v="44.57"/>
    <n v="3.08"/>
    <x v="3"/>
    <s v="DOMINIO"/>
    <x v="0"/>
    <m/>
    <m/>
    <n v="3176"/>
    <n v="2858.4"/>
    <n v="3215.7"/>
  </r>
  <r>
    <x v="13"/>
    <x v="0"/>
    <x v="4"/>
    <x v="544"/>
    <x v="14"/>
    <x v="0"/>
    <n v="44.57"/>
    <n v="3.08"/>
    <x v="0"/>
    <s v="DOMINIO"/>
    <x v="0"/>
    <m/>
    <m/>
    <n v="3118"/>
    <n v="2806.2000000000003"/>
    <n v="3156.9750000000004"/>
  </r>
  <r>
    <x v="13"/>
    <x v="0"/>
    <x v="4"/>
    <x v="43"/>
    <x v="14"/>
    <x v="0"/>
    <n v="44.12"/>
    <n v="3.08"/>
    <x v="0"/>
    <s v="DOMINIO"/>
    <x v="0"/>
    <m/>
    <m/>
    <n v="3118"/>
    <n v="2806.2000000000003"/>
    <n v="3156.9750000000004"/>
  </r>
  <r>
    <x v="13"/>
    <x v="0"/>
    <x v="4"/>
    <x v="89"/>
    <x v="15"/>
    <x v="0"/>
    <n v="43.97"/>
    <n v="3.08"/>
    <x v="0"/>
    <s v="DOMINIO"/>
    <x v="0"/>
    <m/>
    <m/>
    <n v="3124"/>
    <n v="2811.6"/>
    <n v="3163.0499999999997"/>
  </r>
  <r>
    <x v="13"/>
    <x v="0"/>
    <x v="4"/>
    <x v="675"/>
    <x v="15"/>
    <x v="0"/>
    <n v="43.97"/>
    <n v="3.08"/>
    <x v="3"/>
    <s v="DOMINIO"/>
    <x v="0"/>
    <m/>
    <m/>
    <n v="3182"/>
    <n v="2863.8"/>
    <n v="3221.7750000000001"/>
  </r>
  <r>
    <x v="13"/>
    <x v="0"/>
    <x v="4"/>
    <x v="676"/>
    <x v="15"/>
    <x v="0"/>
    <n v="44.12"/>
    <n v="3.08"/>
    <x v="3"/>
    <s v="DOMINIO"/>
    <x v="0"/>
    <m/>
    <m/>
    <n v="3182"/>
    <n v="2863.8"/>
    <n v="3221.7750000000001"/>
  </r>
  <r>
    <x v="13"/>
    <x v="0"/>
    <x v="4"/>
    <x v="677"/>
    <x v="15"/>
    <x v="0"/>
    <n v="44.57"/>
    <n v="3.08"/>
    <x v="3"/>
    <s v="DOMINIO"/>
    <x v="0"/>
    <m/>
    <m/>
    <n v="3182"/>
    <n v="2863.8"/>
    <n v="3221.7750000000001"/>
  </r>
  <r>
    <x v="13"/>
    <x v="0"/>
    <x v="4"/>
    <x v="233"/>
    <x v="15"/>
    <x v="0"/>
    <n v="44.57"/>
    <n v="3.08"/>
    <x v="0"/>
    <s v="DOMINIO"/>
    <x v="0"/>
    <m/>
    <m/>
    <n v="3124"/>
    <n v="2811.6"/>
    <n v="3163.0499999999997"/>
  </r>
  <r>
    <x v="13"/>
    <x v="0"/>
    <x v="4"/>
    <x v="48"/>
    <x v="15"/>
    <x v="0"/>
    <n v="44.12"/>
    <n v="3.08"/>
    <x v="0"/>
    <s v="DOMINIO"/>
    <x v="0"/>
    <m/>
    <m/>
    <n v="3124"/>
    <n v="2811.6"/>
    <n v="3163.0499999999997"/>
  </r>
  <r>
    <x v="13"/>
    <x v="0"/>
    <x v="4"/>
    <x v="91"/>
    <x v="16"/>
    <x v="0"/>
    <n v="43.97"/>
    <n v="3.08"/>
    <x v="0"/>
    <s v="DOMINIO"/>
    <x v="0"/>
    <m/>
    <m/>
    <n v="3129"/>
    <n v="2816.1"/>
    <n v="3168.1124999999997"/>
  </r>
  <r>
    <x v="13"/>
    <x v="0"/>
    <x v="4"/>
    <x v="678"/>
    <x v="16"/>
    <x v="0"/>
    <n v="43.97"/>
    <n v="3.08"/>
    <x v="3"/>
    <s v="DOMINIO"/>
    <x v="0"/>
    <m/>
    <m/>
    <n v="3188"/>
    <n v="2869.2000000000003"/>
    <n v="3227.85"/>
  </r>
  <r>
    <x v="13"/>
    <x v="0"/>
    <x v="4"/>
    <x v="679"/>
    <x v="16"/>
    <x v="0"/>
    <n v="44.12"/>
    <n v="3.08"/>
    <x v="3"/>
    <s v="DOMINIO"/>
    <x v="0"/>
    <m/>
    <m/>
    <n v="3188"/>
    <n v="2869.2000000000003"/>
    <n v="3227.85"/>
  </r>
  <r>
    <x v="13"/>
    <x v="0"/>
    <x v="4"/>
    <x v="680"/>
    <x v="16"/>
    <x v="0"/>
    <n v="44.57"/>
    <n v="3.08"/>
    <x v="3"/>
    <s v="DOMINIO"/>
    <x v="0"/>
    <m/>
    <m/>
    <n v="3188"/>
    <n v="2869.2000000000003"/>
    <n v="3227.85"/>
  </r>
  <r>
    <x v="13"/>
    <x v="0"/>
    <x v="4"/>
    <x v="681"/>
    <x v="16"/>
    <x v="0"/>
    <n v="44.57"/>
    <n v="3.08"/>
    <x v="0"/>
    <s v="DOMINIO"/>
    <x v="0"/>
    <m/>
    <m/>
    <n v="3129"/>
    <n v="2816.1"/>
    <n v="3168.1124999999997"/>
  </r>
  <r>
    <x v="13"/>
    <x v="0"/>
    <x v="4"/>
    <x v="53"/>
    <x v="16"/>
    <x v="0"/>
    <n v="44.12"/>
    <n v="3.08"/>
    <x v="0"/>
    <s v="DOMINIO"/>
    <x v="0"/>
    <m/>
    <m/>
    <n v="3129"/>
    <n v="2816.1"/>
    <n v="3168.1124999999997"/>
  </r>
  <r>
    <x v="13"/>
    <x v="0"/>
    <x v="4"/>
    <x v="93"/>
    <x v="17"/>
    <x v="0"/>
    <n v="43.97"/>
    <n v="3.08"/>
    <x v="0"/>
    <s v="DOMINIO"/>
    <x v="0"/>
    <m/>
    <m/>
    <n v="3135"/>
    <n v="2821.5"/>
    <n v="3174.1874999999995"/>
  </r>
  <r>
    <x v="13"/>
    <x v="0"/>
    <x v="4"/>
    <x v="682"/>
    <x v="17"/>
    <x v="0"/>
    <n v="43.97"/>
    <n v="3.08"/>
    <x v="3"/>
    <s v="DOMINIO"/>
    <x v="0"/>
    <m/>
    <m/>
    <n v="3194"/>
    <n v="2874.6"/>
    <n v="3233.9249999999997"/>
  </r>
  <r>
    <x v="13"/>
    <x v="0"/>
    <x v="4"/>
    <x v="683"/>
    <x v="17"/>
    <x v="0"/>
    <n v="44.12"/>
    <n v="3.08"/>
    <x v="3"/>
    <s v="DOMINIO"/>
    <x v="0"/>
    <m/>
    <m/>
    <n v="3194"/>
    <n v="2874.6"/>
    <n v="3233.9249999999997"/>
  </r>
  <r>
    <x v="13"/>
    <x v="0"/>
    <x v="4"/>
    <x v="684"/>
    <x v="17"/>
    <x v="0"/>
    <n v="44.57"/>
    <n v="3.08"/>
    <x v="3"/>
    <s v="DOMINIO"/>
    <x v="0"/>
    <m/>
    <m/>
    <n v="3194"/>
    <n v="2874.6"/>
    <n v="3233.9249999999997"/>
  </r>
  <r>
    <x v="13"/>
    <x v="0"/>
    <x v="4"/>
    <x v="685"/>
    <x v="17"/>
    <x v="0"/>
    <n v="44.57"/>
    <n v="3.08"/>
    <x v="0"/>
    <s v="DOMINIO"/>
    <x v="0"/>
    <m/>
    <m/>
    <n v="3135"/>
    <n v="2821.5"/>
    <n v="3174.1874999999995"/>
  </r>
  <r>
    <x v="13"/>
    <x v="0"/>
    <x v="4"/>
    <x v="58"/>
    <x v="17"/>
    <x v="0"/>
    <n v="44.12"/>
    <n v="3.08"/>
    <x v="0"/>
    <s v="DOMINIO"/>
    <x v="0"/>
    <m/>
    <m/>
    <n v="3135"/>
    <n v="2821.5"/>
    <n v="3174.1874999999995"/>
  </r>
  <r>
    <x v="13"/>
    <x v="0"/>
    <x v="4"/>
    <x v="95"/>
    <x v="1"/>
    <x v="0"/>
    <n v="43.97"/>
    <n v="3.08"/>
    <x v="0"/>
    <s v="DOMINIO"/>
    <x v="0"/>
    <m/>
    <m/>
    <n v="3141"/>
    <n v="2826.9"/>
    <n v="3180.2624999999998"/>
  </r>
  <r>
    <x v="13"/>
    <x v="0"/>
    <x v="4"/>
    <x v="1"/>
    <x v="1"/>
    <x v="0"/>
    <n v="43.97"/>
    <n v="3.08"/>
    <x v="3"/>
    <s v="DOMINIO"/>
    <x v="0"/>
    <m/>
    <m/>
    <n v="3200"/>
    <n v="2880"/>
    <n v="3240"/>
  </r>
  <r>
    <x v="13"/>
    <x v="0"/>
    <x v="4"/>
    <x v="686"/>
    <x v="1"/>
    <x v="0"/>
    <n v="44.12"/>
    <n v="3.08"/>
    <x v="3"/>
    <s v="DOMINIO"/>
    <x v="0"/>
    <m/>
    <m/>
    <n v="3200"/>
    <n v="2880"/>
    <n v="3240"/>
  </r>
  <r>
    <x v="13"/>
    <x v="0"/>
    <x v="4"/>
    <x v="687"/>
    <x v="1"/>
    <x v="0"/>
    <n v="44.57"/>
    <n v="3.08"/>
    <x v="3"/>
    <s v="DOMINIO"/>
    <x v="0"/>
    <m/>
    <m/>
    <n v="3200"/>
    <n v="2880"/>
    <n v="3240"/>
  </r>
  <r>
    <x v="13"/>
    <x v="0"/>
    <x v="4"/>
    <x v="688"/>
    <x v="1"/>
    <x v="0"/>
    <n v="44.57"/>
    <n v="3.08"/>
    <x v="0"/>
    <s v="DOMINIO"/>
    <x v="0"/>
    <m/>
    <m/>
    <n v="3141"/>
    <n v="2826.9"/>
    <n v="3180.2624999999998"/>
  </r>
  <r>
    <x v="13"/>
    <x v="0"/>
    <x v="4"/>
    <x v="63"/>
    <x v="1"/>
    <x v="0"/>
    <n v="44.12"/>
    <n v="3.08"/>
    <x v="0"/>
    <s v="DOMINIO"/>
    <x v="0"/>
    <m/>
    <m/>
    <n v="3141"/>
    <n v="2826.9"/>
    <n v="3180.2624999999998"/>
  </r>
  <r>
    <x v="13"/>
    <x v="0"/>
    <x v="4"/>
    <x v="97"/>
    <x v="18"/>
    <x v="0"/>
    <n v="43.97"/>
    <n v="3.08"/>
    <x v="0"/>
    <s v="DOMINIO"/>
    <x v="0"/>
    <m/>
    <m/>
    <n v="3147"/>
    <n v="2832.3"/>
    <n v="3186.3375000000001"/>
  </r>
  <r>
    <x v="13"/>
    <x v="0"/>
    <x v="4"/>
    <x v="689"/>
    <x v="18"/>
    <x v="0"/>
    <n v="43.97"/>
    <n v="3.08"/>
    <x v="3"/>
    <s v="DOMINIO"/>
    <x v="0"/>
    <m/>
    <m/>
    <n v="3206"/>
    <n v="2885.4"/>
    <n v="3246.0749999999998"/>
  </r>
  <r>
    <x v="13"/>
    <x v="0"/>
    <x v="4"/>
    <x v="690"/>
    <x v="18"/>
    <x v="0"/>
    <n v="44.12"/>
    <n v="3.08"/>
    <x v="3"/>
    <s v="DOMINIO"/>
    <x v="0"/>
    <m/>
    <m/>
    <n v="3206"/>
    <n v="2885.4"/>
    <n v="3246.0749999999998"/>
  </r>
  <r>
    <x v="13"/>
    <x v="0"/>
    <x v="4"/>
    <x v="691"/>
    <x v="18"/>
    <x v="0"/>
    <n v="44.57"/>
    <n v="3.08"/>
    <x v="3"/>
    <s v="DOMINIO"/>
    <x v="0"/>
    <m/>
    <m/>
    <n v="3206"/>
    <n v="2885.4"/>
    <n v="3246.0749999999998"/>
  </r>
  <r>
    <x v="13"/>
    <x v="0"/>
    <x v="4"/>
    <x v="692"/>
    <x v="18"/>
    <x v="0"/>
    <n v="44.57"/>
    <n v="3.08"/>
    <x v="0"/>
    <s v="DOMINIO"/>
    <x v="0"/>
    <m/>
    <m/>
    <n v="3147"/>
    <n v="2832.3"/>
    <n v="3186.3375000000001"/>
  </r>
  <r>
    <x v="13"/>
    <x v="0"/>
    <x v="4"/>
    <x v="67"/>
    <x v="18"/>
    <x v="0"/>
    <n v="44.12"/>
    <n v="3.08"/>
    <x v="0"/>
    <s v="DOMINIO"/>
    <x v="0"/>
    <m/>
    <m/>
    <n v="3147"/>
    <n v="2832.3"/>
    <n v="3186.3375000000001"/>
  </r>
  <r>
    <x v="13"/>
    <x v="2"/>
    <x v="7"/>
    <x v="103"/>
    <x v="6"/>
    <x v="0"/>
    <n v="12.5"/>
    <n v="0"/>
    <x v="4"/>
    <s v="DOMINIO"/>
    <x v="0"/>
    <m/>
    <m/>
    <n v="350"/>
    <n v="350"/>
    <n v="393.75"/>
  </r>
  <r>
    <x v="13"/>
    <x v="2"/>
    <x v="7"/>
    <x v="107"/>
    <x v="3"/>
    <x v="0"/>
    <n v="12.5"/>
    <n v="0"/>
    <x v="4"/>
    <s v="DOMINIO"/>
    <x v="0"/>
    <m/>
    <m/>
    <n v="350"/>
    <n v="350"/>
    <n v="393.75"/>
  </r>
  <r>
    <x v="13"/>
    <x v="2"/>
    <x v="7"/>
    <x v="273"/>
    <x v="3"/>
    <x v="0"/>
    <n v="12.5"/>
    <n v="0"/>
    <x v="4"/>
    <s v="DOMINIO"/>
    <x v="0"/>
    <m/>
    <m/>
    <n v="350"/>
    <n v="350"/>
    <n v="393.75"/>
  </r>
  <r>
    <x v="13"/>
    <x v="2"/>
    <x v="7"/>
    <x v="109"/>
    <x v="3"/>
    <x v="0"/>
    <n v="12.5"/>
    <n v="0"/>
    <x v="4"/>
    <s v="DOMINIO"/>
    <x v="0"/>
    <m/>
    <m/>
    <n v="350"/>
    <n v="350"/>
    <n v="393.75"/>
  </r>
  <r>
    <x v="13"/>
    <x v="2"/>
    <x v="7"/>
    <x v="165"/>
    <x v="3"/>
    <x v="0"/>
    <n v="12.5"/>
    <n v="0"/>
    <x v="4"/>
    <s v="DOMINIO"/>
    <x v="0"/>
    <m/>
    <m/>
    <n v="350"/>
    <n v="350"/>
    <n v="393.75"/>
  </r>
  <r>
    <x v="13"/>
    <x v="2"/>
    <x v="7"/>
    <x v="274"/>
    <x v="3"/>
    <x v="0"/>
    <n v="12.5"/>
    <n v="0"/>
    <x v="4"/>
    <s v="DOMINIO"/>
    <x v="0"/>
    <m/>
    <m/>
    <n v="350"/>
    <n v="350"/>
    <n v="393.75"/>
  </r>
  <r>
    <x v="13"/>
    <x v="2"/>
    <x v="7"/>
    <x v="110"/>
    <x v="3"/>
    <x v="0"/>
    <n v="12.5"/>
    <n v="0"/>
    <x v="4"/>
    <s v="DOMINIO"/>
    <x v="0"/>
    <m/>
    <m/>
    <n v="350"/>
    <n v="350"/>
    <n v="393.75"/>
  </r>
  <r>
    <x v="13"/>
    <x v="2"/>
    <x v="7"/>
    <x v="111"/>
    <x v="3"/>
    <x v="0"/>
    <n v="12.5"/>
    <n v="0"/>
    <x v="4"/>
    <s v="DOMINIO"/>
    <x v="0"/>
    <m/>
    <m/>
    <n v="350"/>
    <n v="350"/>
    <n v="393.75"/>
  </r>
  <r>
    <x v="13"/>
    <x v="2"/>
    <x v="7"/>
    <x v="112"/>
    <x v="3"/>
    <x v="0"/>
    <n v="12.5"/>
    <n v="0"/>
    <x v="4"/>
    <s v="DOMINIO"/>
    <x v="0"/>
    <m/>
    <m/>
    <n v="350"/>
    <n v="350"/>
    <n v="393.75"/>
  </r>
  <r>
    <x v="13"/>
    <x v="2"/>
    <x v="7"/>
    <x v="113"/>
    <x v="3"/>
    <x v="0"/>
    <n v="12.5"/>
    <n v="0"/>
    <x v="4"/>
    <s v="DOMINIO"/>
    <x v="0"/>
    <m/>
    <m/>
    <n v="350"/>
    <n v="350"/>
    <n v="393.75"/>
  </r>
  <r>
    <x v="13"/>
    <x v="2"/>
    <x v="7"/>
    <x v="114"/>
    <x v="3"/>
    <x v="0"/>
    <n v="12.5"/>
    <n v="0"/>
    <x v="4"/>
    <s v="DOMINIO"/>
    <x v="0"/>
    <m/>
    <m/>
    <n v="350"/>
    <n v="350"/>
    <n v="393.75"/>
  </r>
  <r>
    <x v="13"/>
    <x v="2"/>
    <x v="7"/>
    <x v="115"/>
    <x v="3"/>
    <x v="0"/>
    <n v="12.5"/>
    <n v="0"/>
    <x v="4"/>
    <s v="DOMINIO"/>
    <x v="0"/>
    <m/>
    <m/>
    <n v="350"/>
    <n v="350"/>
    <n v="393.75"/>
  </r>
  <r>
    <x v="13"/>
    <x v="2"/>
    <x v="7"/>
    <x v="116"/>
    <x v="3"/>
    <x v="0"/>
    <n v="12.5"/>
    <n v="0"/>
    <x v="4"/>
    <s v="DOMINIO"/>
    <x v="0"/>
    <m/>
    <m/>
    <n v="350"/>
    <n v="350"/>
    <n v="393.75"/>
  </r>
  <r>
    <x v="13"/>
    <x v="2"/>
    <x v="7"/>
    <x v="117"/>
    <x v="3"/>
    <x v="0"/>
    <n v="12.5"/>
    <n v="0"/>
    <x v="4"/>
    <s v="DOMINIO"/>
    <x v="0"/>
    <s v="E - 19 A"/>
    <m/>
    <n v="225"/>
    <n v="225"/>
    <n v="253.125"/>
  </r>
  <r>
    <x v="13"/>
    <x v="2"/>
    <x v="7"/>
    <x v="166"/>
    <x v="3"/>
    <x v="0"/>
    <n v="12.5"/>
    <n v="0"/>
    <x v="4"/>
    <s v="DOMINIO"/>
    <x v="0"/>
    <s v="E - 18 A"/>
    <m/>
    <n v="225"/>
    <n v="225"/>
    <n v="253.125"/>
  </r>
  <r>
    <x v="13"/>
    <x v="2"/>
    <x v="7"/>
    <x v="118"/>
    <x v="3"/>
    <x v="0"/>
    <n v="12.5"/>
    <n v="0"/>
    <x v="4"/>
    <s v="DOMINIO"/>
    <x v="0"/>
    <m/>
    <m/>
    <n v="350"/>
    <n v="350"/>
    <n v="393.75"/>
  </r>
  <r>
    <x v="13"/>
    <x v="2"/>
    <x v="7"/>
    <x v="119"/>
    <x v="3"/>
    <x v="0"/>
    <n v="12.5"/>
    <n v="0"/>
    <x v="4"/>
    <s v="DOMINIO"/>
    <x v="0"/>
    <m/>
    <m/>
    <n v="350"/>
    <n v="350"/>
    <n v="393.75"/>
  </r>
  <r>
    <x v="13"/>
    <x v="2"/>
    <x v="7"/>
    <x v="120"/>
    <x v="3"/>
    <x v="0"/>
    <n v="12.5"/>
    <n v="0"/>
    <x v="4"/>
    <s v="DOMINIO"/>
    <x v="0"/>
    <m/>
    <m/>
    <n v="350"/>
    <n v="350"/>
    <n v="393.75"/>
  </r>
  <r>
    <x v="13"/>
    <x v="2"/>
    <x v="7"/>
    <x v="275"/>
    <x v="3"/>
    <x v="0"/>
    <n v="12.5"/>
    <n v="0"/>
    <x v="4"/>
    <s v="DOMINIO"/>
    <x v="0"/>
    <m/>
    <m/>
    <n v="350"/>
    <n v="350"/>
    <n v="393.75"/>
  </r>
  <r>
    <x v="13"/>
    <x v="2"/>
    <x v="7"/>
    <x v="121"/>
    <x v="3"/>
    <x v="0"/>
    <n v="12.5"/>
    <n v="0"/>
    <x v="4"/>
    <s v="DOMINIO"/>
    <x v="0"/>
    <m/>
    <m/>
    <n v="350"/>
    <n v="350"/>
    <n v="393.75"/>
  </r>
  <r>
    <x v="13"/>
    <x v="2"/>
    <x v="7"/>
    <x v="122"/>
    <x v="3"/>
    <x v="0"/>
    <n v="12.5"/>
    <n v="0"/>
    <x v="4"/>
    <s v="DOMINIO"/>
    <x v="0"/>
    <m/>
    <m/>
    <n v="350"/>
    <n v="350"/>
    <n v="393.75"/>
  </r>
  <r>
    <x v="13"/>
    <x v="2"/>
    <x v="7"/>
    <x v="123"/>
    <x v="3"/>
    <x v="0"/>
    <n v="12.5"/>
    <n v="0"/>
    <x v="4"/>
    <s v="DOMINIO"/>
    <x v="0"/>
    <m/>
    <m/>
    <n v="350"/>
    <n v="350"/>
    <n v="393.75"/>
  </r>
  <r>
    <x v="13"/>
    <x v="2"/>
    <x v="7"/>
    <x v="167"/>
    <x v="3"/>
    <x v="0"/>
    <n v="12.5"/>
    <n v="0"/>
    <x v="4"/>
    <s v="DOMINIO"/>
    <x v="0"/>
    <m/>
    <m/>
    <n v="350"/>
    <n v="350"/>
    <n v="393.75"/>
  </r>
  <r>
    <x v="13"/>
    <x v="2"/>
    <x v="7"/>
    <x v="124"/>
    <x v="3"/>
    <x v="0"/>
    <n v="12.5"/>
    <n v="0"/>
    <x v="4"/>
    <s v="DOMINIO"/>
    <x v="0"/>
    <s v="E - 29 A"/>
    <m/>
    <n v="225"/>
    <n v="225"/>
    <n v="253.125"/>
  </r>
  <r>
    <x v="13"/>
    <x v="2"/>
    <x v="7"/>
    <x v="125"/>
    <x v="3"/>
    <x v="0"/>
    <n v="12.5"/>
    <n v="0"/>
    <x v="4"/>
    <s v="DOMINIO"/>
    <x v="0"/>
    <s v="E - 28 A"/>
    <m/>
    <n v="225"/>
    <n v="225"/>
    <n v="253.125"/>
  </r>
  <r>
    <x v="13"/>
    <x v="2"/>
    <x v="7"/>
    <x v="126"/>
    <x v="3"/>
    <x v="0"/>
    <n v="12.5"/>
    <n v="0"/>
    <x v="4"/>
    <s v="DOMINIO"/>
    <x v="0"/>
    <s v="E - 31 A"/>
    <m/>
    <n v="225"/>
    <n v="225"/>
    <n v="253.125"/>
  </r>
  <r>
    <x v="13"/>
    <x v="2"/>
    <x v="7"/>
    <x v="127"/>
    <x v="3"/>
    <x v="0"/>
    <n v="12.5"/>
    <n v="0"/>
    <x v="4"/>
    <s v="DOMINIO"/>
    <x v="0"/>
    <s v="E - 30 A"/>
    <m/>
    <n v="225"/>
    <n v="225"/>
    <n v="253.125"/>
  </r>
  <r>
    <x v="13"/>
    <x v="2"/>
    <x v="7"/>
    <x v="276"/>
    <x v="0"/>
    <x v="0"/>
    <n v="12.5"/>
    <n v="0"/>
    <x v="4"/>
    <s v="DOMINIO"/>
    <x v="0"/>
    <m/>
    <m/>
    <n v="350"/>
    <n v="350"/>
    <n v="393.75"/>
  </r>
  <r>
    <x v="13"/>
    <x v="2"/>
    <x v="7"/>
    <x v="128"/>
    <x v="0"/>
    <x v="0"/>
    <n v="12.5"/>
    <n v="0"/>
    <x v="4"/>
    <s v="DOMINIO"/>
    <x v="0"/>
    <m/>
    <m/>
    <n v="350"/>
    <n v="350"/>
    <n v="393.75"/>
  </r>
  <r>
    <x v="13"/>
    <x v="2"/>
    <x v="7"/>
    <x v="129"/>
    <x v="0"/>
    <x v="0"/>
    <n v="12.5"/>
    <n v="0"/>
    <x v="4"/>
    <s v="DOMINIO"/>
    <x v="0"/>
    <m/>
    <m/>
    <n v="350"/>
    <n v="350"/>
    <n v="393.75"/>
  </r>
  <r>
    <x v="13"/>
    <x v="2"/>
    <x v="7"/>
    <x v="130"/>
    <x v="0"/>
    <x v="0"/>
    <n v="12.5"/>
    <n v="0"/>
    <x v="4"/>
    <s v="DOMINIO"/>
    <x v="0"/>
    <m/>
    <m/>
    <n v="350"/>
    <n v="350"/>
    <n v="393.75"/>
  </r>
  <r>
    <x v="13"/>
    <x v="2"/>
    <x v="7"/>
    <x v="131"/>
    <x v="0"/>
    <x v="0"/>
    <n v="12.5"/>
    <n v="0"/>
    <x v="4"/>
    <s v="DOMINIO"/>
    <x v="0"/>
    <m/>
    <m/>
    <n v="350"/>
    <n v="350"/>
    <n v="393.75"/>
  </r>
  <r>
    <x v="13"/>
    <x v="2"/>
    <x v="7"/>
    <x v="132"/>
    <x v="0"/>
    <x v="0"/>
    <n v="12.5"/>
    <n v="0"/>
    <x v="4"/>
    <s v="DOMINIO"/>
    <x v="0"/>
    <m/>
    <m/>
    <n v="350"/>
    <n v="350"/>
    <n v="393.75"/>
  </r>
  <r>
    <x v="13"/>
    <x v="2"/>
    <x v="7"/>
    <x v="133"/>
    <x v="0"/>
    <x v="0"/>
    <n v="12.5"/>
    <n v="0"/>
    <x v="4"/>
    <s v="DOMINIO"/>
    <x v="0"/>
    <m/>
    <m/>
    <n v="350"/>
    <n v="350"/>
    <n v="393.75"/>
  </r>
  <r>
    <x v="13"/>
    <x v="2"/>
    <x v="7"/>
    <x v="134"/>
    <x v="0"/>
    <x v="0"/>
    <n v="12.5"/>
    <n v="0"/>
    <x v="4"/>
    <s v="DOMINIO"/>
    <x v="0"/>
    <m/>
    <m/>
    <n v="350"/>
    <n v="350"/>
    <n v="393.75"/>
  </r>
  <r>
    <x v="13"/>
    <x v="2"/>
    <x v="7"/>
    <x v="135"/>
    <x v="0"/>
    <x v="0"/>
    <n v="12.5"/>
    <n v="0"/>
    <x v="4"/>
    <s v="DOMINIO"/>
    <x v="0"/>
    <m/>
    <m/>
    <n v="350"/>
    <n v="350"/>
    <n v="393.75"/>
  </r>
  <r>
    <x v="13"/>
    <x v="2"/>
    <x v="7"/>
    <x v="136"/>
    <x v="0"/>
    <x v="0"/>
    <n v="12.5"/>
    <n v="0"/>
    <x v="4"/>
    <s v="DOMINIO"/>
    <x v="0"/>
    <m/>
    <m/>
    <n v="350"/>
    <n v="350"/>
    <n v="393.75"/>
  </r>
  <r>
    <x v="13"/>
    <x v="2"/>
    <x v="7"/>
    <x v="137"/>
    <x v="0"/>
    <x v="0"/>
    <n v="12.5"/>
    <n v="0"/>
    <x v="4"/>
    <s v="DOMINIO"/>
    <x v="0"/>
    <m/>
    <m/>
    <n v="350"/>
    <n v="350"/>
    <n v="393.75"/>
  </r>
  <r>
    <x v="13"/>
    <x v="2"/>
    <x v="7"/>
    <x v="138"/>
    <x v="0"/>
    <x v="0"/>
    <n v="12.5"/>
    <n v="0"/>
    <x v="4"/>
    <s v="DOMINIO"/>
    <x v="0"/>
    <m/>
    <m/>
    <n v="350"/>
    <n v="350"/>
    <n v="393.75"/>
  </r>
  <r>
    <x v="13"/>
    <x v="2"/>
    <x v="7"/>
    <x v="140"/>
    <x v="0"/>
    <x v="0"/>
    <n v="12.5"/>
    <n v="0"/>
    <x v="4"/>
    <s v="DOMINIO"/>
    <x v="0"/>
    <m/>
    <m/>
    <n v="350"/>
    <n v="350"/>
    <n v="393.75"/>
  </r>
  <r>
    <x v="13"/>
    <x v="2"/>
    <x v="7"/>
    <x v="141"/>
    <x v="0"/>
    <x v="0"/>
    <n v="12.5"/>
    <n v="0"/>
    <x v="4"/>
    <s v="DOMINIO"/>
    <x v="0"/>
    <s v="E - 47 A"/>
    <m/>
    <n v="225"/>
    <n v="225"/>
    <n v="253.125"/>
  </r>
  <r>
    <x v="13"/>
    <x v="2"/>
    <x v="7"/>
    <x v="142"/>
    <x v="0"/>
    <x v="0"/>
    <n v="12.5"/>
    <n v="0"/>
    <x v="4"/>
    <s v="DOMINIO"/>
    <x v="0"/>
    <s v="E - 46 A"/>
    <m/>
    <n v="225"/>
    <n v="225"/>
    <n v="253.125"/>
  </r>
  <r>
    <x v="13"/>
    <x v="2"/>
    <x v="7"/>
    <x v="143"/>
    <x v="0"/>
    <x v="0"/>
    <n v="12.5"/>
    <n v="0"/>
    <x v="4"/>
    <s v="DOMINIO"/>
    <x v="0"/>
    <m/>
    <m/>
    <n v="350"/>
    <n v="350"/>
    <n v="393.75"/>
  </r>
  <r>
    <x v="13"/>
    <x v="2"/>
    <x v="7"/>
    <x v="144"/>
    <x v="0"/>
    <x v="0"/>
    <n v="12.5"/>
    <n v="0"/>
    <x v="4"/>
    <s v="DOMINIO"/>
    <x v="0"/>
    <m/>
    <m/>
    <n v="350"/>
    <n v="350"/>
    <n v="393.75"/>
  </r>
  <r>
    <x v="13"/>
    <x v="2"/>
    <x v="7"/>
    <x v="146"/>
    <x v="0"/>
    <x v="0"/>
    <n v="12.5"/>
    <n v="0"/>
    <x v="4"/>
    <s v="DOMINIO"/>
    <x v="0"/>
    <m/>
    <m/>
    <n v="350"/>
    <n v="350"/>
    <n v="393.75"/>
  </r>
  <r>
    <x v="13"/>
    <x v="2"/>
    <x v="7"/>
    <x v="168"/>
    <x v="0"/>
    <x v="0"/>
    <n v="12.5"/>
    <n v="0"/>
    <x v="4"/>
    <s v="DOMINIO"/>
    <x v="0"/>
    <m/>
    <m/>
    <n v="350"/>
    <n v="350"/>
    <n v="393.75"/>
  </r>
  <r>
    <x v="13"/>
    <x v="2"/>
    <x v="7"/>
    <x v="397"/>
    <x v="0"/>
    <x v="0"/>
    <n v="12.5"/>
    <n v="0"/>
    <x v="4"/>
    <s v="DOMINIO"/>
    <x v="0"/>
    <m/>
    <m/>
    <n v="350"/>
    <n v="350"/>
    <n v="393.75"/>
  </r>
  <r>
    <x v="13"/>
    <x v="2"/>
    <x v="7"/>
    <x v="169"/>
    <x v="0"/>
    <x v="0"/>
    <n v="12.5"/>
    <n v="0"/>
    <x v="4"/>
    <s v="DOMINIO"/>
    <x v="0"/>
    <m/>
    <m/>
    <n v="350"/>
    <n v="350"/>
    <n v="393.75"/>
  </r>
  <r>
    <x v="13"/>
    <x v="2"/>
    <x v="7"/>
    <x v="170"/>
    <x v="0"/>
    <x v="0"/>
    <n v="12.5"/>
    <n v="0"/>
    <x v="4"/>
    <s v="DOMINIO"/>
    <x v="0"/>
    <m/>
    <m/>
    <n v="350"/>
    <n v="350"/>
    <n v="393.75"/>
  </r>
  <r>
    <x v="13"/>
    <x v="2"/>
    <x v="7"/>
    <x v="398"/>
    <x v="0"/>
    <x v="0"/>
    <n v="12.5"/>
    <n v="0"/>
    <x v="4"/>
    <s v="DOMINIO"/>
    <x v="0"/>
    <s v="E - 57 A"/>
    <m/>
    <n v="225"/>
    <n v="225"/>
    <n v="253.125"/>
  </r>
  <r>
    <x v="13"/>
    <x v="2"/>
    <x v="7"/>
    <x v="171"/>
    <x v="0"/>
    <x v="0"/>
    <n v="12.5"/>
    <n v="0"/>
    <x v="4"/>
    <s v="DOMINIO"/>
    <x v="0"/>
    <s v="E - 56 A"/>
    <m/>
    <n v="225"/>
    <n v="225"/>
    <n v="253.125"/>
  </r>
  <r>
    <x v="13"/>
    <x v="2"/>
    <x v="7"/>
    <x v="399"/>
    <x v="0"/>
    <x v="0"/>
    <n v="12.5"/>
    <n v="0"/>
    <x v="4"/>
    <s v="DOMINIO"/>
    <x v="0"/>
    <s v="E - 59 A"/>
    <m/>
    <n v="225"/>
    <n v="225"/>
    <n v="253.125"/>
  </r>
  <r>
    <x v="13"/>
    <x v="2"/>
    <x v="7"/>
    <x v="172"/>
    <x v="0"/>
    <x v="0"/>
    <n v="12.5"/>
    <n v="0"/>
    <x v="4"/>
    <s v="DOMINIO"/>
    <x v="0"/>
    <s v="E - 58 A"/>
    <m/>
    <n v="225"/>
    <n v="225"/>
    <n v="253.125"/>
  </r>
  <r>
    <x v="13"/>
    <x v="2"/>
    <x v="7"/>
    <x v="147"/>
    <x v="4"/>
    <x v="0"/>
    <n v="12.5"/>
    <n v="0"/>
    <x v="4"/>
    <s v="DOMINIO"/>
    <x v="0"/>
    <m/>
    <m/>
    <n v="350"/>
    <n v="350"/>
    <n v="393.75"/>
  </r>
  <r>
    <x v="13"/>
    <x v="2"/>
    <x v="7"/>
    <x v="173"/>
    <x v="4"/>
    <x v="0"/>
    <n v="12.5"/>
    <n v="0"/>
    <x v="4"/>
    <s v="DOMINIO"/>
    <x v="0"/>
    <m/>
    <m/>
    <n v="350"/>
    <n v="350"/>
    <n v="393.75"/>
  </r>
  <r>
    <x v="13"/>
    <x v="2"/>
    <x v="7"/>
    <x v="174"/>
    <x v="4"/>
    <x v="0"/>
    <n v="12.5"/>
    <n v="0"/>
    <x v="4"/>
    <s v="DOMINIO"/>
    <x v="0"/>
    <m/>
    <m/>
    <n v="350"/>
    <n v="350"/>
    <n v="393.75"/>
  </r>
  <r>
    <x v="13"/>
    <x v="2"/>
    <x v="7"/>
    <x v="148"/>
    <x v="4"/>
    <x v="0"/>
    <n v="12.5"/>
    <n v="0"/>
    <x v="4"/>
    <s v="DOMINIO"/>
    <x v="0"/>
    <m/>
    <m/>
    <n v="350"/>
    <n v="350"/>
    <n v="393.75"/>
  </r>
  <r>
    <x v="13"/>
    <x v="2"/>
    <x v="7"/>
    <x v="149"/>
    <x v="4"/>
    <x v="0"/>
    <n v="12.5"/>
    <n v="0"/>
    <x v="4"/>
    <s v="DOMINIO"/>
    <x v="0"/>
    <m/>
    <m/>
    <n v="350"/>
    <n v="350"/>
    <n v="393.75"/>
  </r>
  <r>
    <x v="13"/>
    <x v="2"/>
    <x v="7"/>
    <x v="175"/>
    <x v="4"/>
    <x v="0"/>
    <n v="12.5"/>
    <n v="0"/>
    <x v="4"/>
    <s v="DOMINIO"/>
    <x v="0"/>
    <m/>
    <m/>
    <n v="350"/>
    <n v="350"/>
    <n v="393.75"/>
  </r>
  <r>
    <x v="13"/>
    <x v="2"/>
    <x v="7"/>
    <x v="150"/>
    <x v="4"/>
    <x v="0"/>
    <n v="12.5"/>
    <n v="0"/>
    <x v="4"/>
    <s v="DOMINIO"/>
    <x v="0"/>
    <m/>
    <m/>
    <n v="350"/>
    <n v="350"/>
    <n v="393.75"/>
  </r>
  <r>
    <x v="13"/>
    <x v="2"/>
    <x v="7"/>
    <x v="176"/>
    <x v="4"/>
    <x v="0"/>
    <n v="12.5"/>
    <n v="0"/>
    <x v="4"/>
    <s v="DOMINIO"/>
    <x v="0"/>
    <m/>
    <m/>
    <n v="350"/>
    <n v="350"/>
    <n v="393.75"/>
  </r>
  <r>
    <x v="13"/>
    <x v="2"/>
    <x v="7"/>
    <x v="151"/>
    <x v="4"/>
    <x v="0"/>
    <n v="12.5"/>
    <n v="0"/>
    <x v="4"/>
    <s v="DOMINIO"/>
    <x v="0"/>
    <m/>
    <m/>
    <n v="350"/>
    <n v="350"/>
    <n v="393.75"/>
  </r>
  <r>
    <x v="13"/>
    <x v="2"/>
    <x v="7"/>
    <x v="152"/>
    <x v="4"/>
    <x v="0"/>
    <n v="12.5"/>
    <n v="0"/>
    <x v="4"/>
    <s v="DOMINIO"/>
    <x v="0"/>
    <m/>
    <m/>
    <n v="350"/>
    <n v="350"/>
    <n v="393.75"/>
  </r>
  <r>
    <x v="13"/>
    <x v="2"/>
    <x v="7"/>
    <x v="153"/>
    <x v="4"/>
    <x v="0"/>
    <n v="12.5"/>
    <n v="0"/>
    <x v="4"/>
    <s v="DOMINIO"/>
    <x v="0"/>
    <m/>
    <m/>
    <n v="350"/>
    <n v="350"/>
    <n v="393.75"/>
  </r>
  <r>
    <x v="13"/>
    <x v="2"/>
    <x v="7"/>
    <x v="154"/>
    <x v="4"/>
    <x v="0"/>
    <n v="12.5"/>
    <n v="0"/>
    <x v="4"/>
    <s v="DOMINIO"/>
    <x v="0"/>
    <m/>
    <m/>
    <n v="350"/>
    <n v="350"/>
    <n v="393.75"/>
  </r>
  <r>
    <x v="13"/>
    <x v="2"/>
    <x v="7"/>
    <x v="155"/>
    <x v="4"/>
    <x v="0"/>
    <n v="12.5"/>
    <n v="0"/>
    <x v="4"/>
    <s v="DOMINIO"/>
    <x v="0"/>
    <m/>
    <m/>
    <n v="350"/>
    <n v="350"/>
    <n v="393.75"/>
  </r>
  <r>
    <x v="13"/>
    <x v="2"/>
    <x v="7"/>
    <x v="177"/>
    <x v="4"/>
    <x v="0"/>
    <n v="12.5"/>
    <n v="0"/>
    <x v="4"/>
    <s v="DOMINIO"/>
    <x v="0"/>
    <m/>
    <m/>
    <n v="350"/>
    <n v="350"/>
    <n v="393.75"/>
  </r>
  <r>
    <x v="13"/>
    <x v="2"/>
    <x v="7"/>
    <x v="156"/>
    <x v="4"/>
    <x v="0"/>
    <n v="12.5"/>
    <n v="0"/>
    <x v="4"/>
    <s v="DOMINIO"/>
    <x v="0"/>
    <s v="E - 75 A"/>
    <m/>
    <n v="225"/>
    <n v="225"/>
    <n v="253.125"/>
  </r>
  <r>
    <x v="13"/>
    <x v="2"/>
    <x v="7"/>
    <x v="157"/>
    <x v="4"/>
    <x v="0"/>
    <n v="12.5"/>
    <n v="0"/>
    <x v="4"/>
    <s v="DOMINIO"/>
    <x v="0"/>
    <s v="E - 74 A"/>
    <m/>
    <n v="225"/>
    <n v="225"/>
    <n v="253.125"/>
  </r>
  <r>
    <x v="13"/>
    <x v="2"/>
    <x v="7"/>
    <x v="158"/>
    <x v="4"/>
    <x v="0"/>
    <n v="12.5"/>
    <n v="0"/>
    <x v="4"/>
    <s v="DOMINIO"/>
    <x v="0"/>
    <m/>
    <m/>
    <n v="350"/>
    <n v="350"/>
    <n v="393.75"/>
  </r>
  <r>
    <x v="13"/>
    <x v="2"/>
    <x v="7"/>
    <x v="159"/>
    <x v="4"/>
    <x v="0"/>
    <n v="12.5"/>
    <n v="0"/>
    <x v="4"/>
    <s v="DOMINIO"/>
    <x v="0"/>
    <m/>
    <m/>
    <n v="350"/>
    <n v="350"/>
    <n v="393.75"/>
  </r>
  <r>
    <x v="13"/>
    <x v="2"/>
    <x v="7"/>
    <x v="160"/>
    <x v="4"/>
    <x v="0"/>
    <n v="12.5"/>
    <n v="0"/>
    <x v="4"/>
    <s v="DOMINIO"/>
    <x v="0"/>
    <m/>
    <m/>
    <n v="350"/>
    <n v="350"/>
    <n v="393.75"/>
  </r>
  <r>
    <x v="13"/>
    <x v="2"/>
    <x v="7"/>
    <x v="161"/>
    <x v="4"/>
    <x v="0"/>
    <n v="12.5"/>
    <n v="0"/>
    <x v="4"/>
    <s v="DOMINIO"/>
    <x v="0"/>
    <m/>
    <m/>
    <n v="350"/>
    <n v="350"/>
    <n v="393.75"/>
  </r>
  <r>
    <x v="13"/>
    <x v="2"/>
    <x v="7"/>
    <x v="162"/>
    <x v="4"/>
    <x v="0"/>
    <n v="12.5"/>
    <n v="0"/>
    <x v="4"/>
    <s v="DOMINIO"/>
    <x v="0"/>
    <m/>
    <m/>
    <n v="350"/>
    <n v="350"/>
    <n v="393.75"/>
  </r>
  <r>
    <x v="13"/>
    <x v="2"/>
    <x v="7"/>
    <x v="163"/>
    <x v="4"/>
    <x v="0"/>
    <n v="12.5"/>
    <n v="0"/>
    <x v="4"/>
    <s v="DOMINIO"/>
    <x v="0"/>
    <m/>
    <m/>
    <n v="350"/>
    <n v="350"/>
    <n v="393.75"/>
  </r>
  <r>
    <x v="13"/>
    <x v="2"/>
    <x v="7"/>
    <x v="164"/>
    <x v="4"/>
    <x v="0"/>
    <n v="12.5"/>
    <n v="0"/>
    <x v="4"/>
    <s v="DOMINIO"/>
    <x v="0"/>
    <m/>
    <m/>
    <n v="350"/>
    <n v="350"/>
    <n v="393.75"/>
  </r>
  <r>
    <x v="13"/>
    <x v="2"/>
    <x v="7"/>
    <x v="178"/>
    <x v="4"/>
    <x v="0"/>
    <n v="12.5"/>
    <n v="0"/>
    <x v="4"/>
    <s v="DOMINIO"/>
    <x v="0"/>
    <m/>
    <m/>
    <n v="350"/>
    <n v="350"/>
    <n v="393.75"/>
  </r>
  <r>
    <x v="13"/>
    <x v="2"/>
    <x v="7"/>
    <x v="534"/>
    <x v="4"/>
    <x v="0"/>
    <n v="12.5"/>
    <n v="0"/>
    <x v="4"/>
    <s v="DOMINIO"/>
    <x v="0"/>
    <s v="E - 85 A"/>
    <m/>
    <n v="225"/>
    <n v="225"/>
    <n v="253.125"/>
  </r>
  <r>
    <x v="13"/>
    <x v="2"/>
    <x v="7"/>
    <x v="179"/>
    <x v="4"/>
    <x v="0"/>
    <n v="12.5"/>
    <n v="0"/>
    <x v="4"/>
    <s v="DOMINIO"/>
    <x v="0"/>
    <s v="E - 84 A"/>
    <m/>
    <n v="225"/>
    <n v="225"/>
    <n v="253.125"/>
  </r>
  <r>
    <x v="13"/>
    <x v="2"/>
    <x v="7"/>
    <x v="535"/>
    <x v="4"/>
    <x v="0"/>
    <n v="12.5"/>
    <n v="0"/>
    <x v="4"/>
    <s v="DOMINIO"/>
    <x v="0"/>
    <s v="E - 87 A"/>
    <m/>
    <n v="225"/>
    <n v="225"/>
    <n v="253.125"/>
  </r>
  <r>
    <x v="13"/>
    <x v="2"/>
    <x v="7"/>
    <x v="417"/>
    <x v="4"/>
    <x v="0"/>
    <n v="12.5"/>
    <n v="0"/>
    <x v="4"/>
    <s v="DOMINIO"/>
    <x v="0"/>
    <s v="E - 86 A"/>
    <m/>
    <n v="225"/>
    <n v="225"/>
    <n v="253.125"/>
  </r>
  <r>
    <x v="13"/>
    <x v="2"/>
    <x v="7"/>
    <x v="180"/>
    <x v="7"/>
    <x v="0"/>
    <n v="12.5"/>
    <n v="0"/>
    <x v="9"/>
    <s v="USO Y GOCE"/>
    <x v="0"/>
    <m/>
    <m/>
    <n v="350"/>
    <n v="350"/>
    <n v="393.75"/>
  </r>
  <r>
    <x v="13"/>
    <x v="2"/>
    <x v="7"/>
    <x v="181"/>
    <x v="7"/>
    <x v="0"/>
    <n v="12.5"/>
    <n v="0"/>
    <x v="9"/>
    <s v="USO Y GOCE"/>
    <x v="0"/>
    <m/>
    <m/>
    <n v="350"/>
    <n v="350"/>
    <n v="393.75"/>
  </r>
  <r>
    <x v="13"/>
    <x v="2"/>
    <x v="7"/>
    <x v="182"/>
    <x v="7"/>
    <x v="0"/>
    <n v="12.5"/>
    <n v="0"/>
    <x v="9"/>
    <s v="USO Y GOCE"/>
    <x v="0"/>
    <m/>
    <m/>
    <n v="350"/>
    <n v="350"/>
    <n v="393.75"/>
  </r>
  <r>
    <x v="13"/>
    <x v="2"/>
    <x v="7"/>
    <x v="183"/>
    <x v="7"/>
    <x v="0"/>
    <n v="12.5"/>
    <n v="0"/>
    <x v="9"/>
    <s v="USO Y GOCE"/>
    <x v="0"/>
    <m/>
    <m/>
    <n v="350"/>
    <n v="350"/>
    <n v="393.75"/>
  </r>
  <r>
    <x v="13"/>
    <x v="2"/>
    <x v="7"/>
    <x v="184"/>
    <x v="7"/>
    <x v="0"/>
    <n v="12.5"/>
    <n v="0"/>
    <x v="9"/>
    <s v="USO Y GOCE"/>
    <x v="0"/>
    <m/>
    <m/>
    <n v="350"/>
    <n v="350"/>
    <n v="393.75"/>
  </r>
  <r>
    <x v="13"/>
    <x v="2"/>
    <x v="7"/>
    <x v="185"/>
    <x v="7"/>
    <x v="0"/>
    <n v="12.5"/>
    <n v="0"/>
    <x v="9"/>
    <s v="USO Y GOCE"/>
    <x v="0"/>
    <m/>
    <m/>
    <n v="350"/>
    <n v="350"/>
    <n v="393.75"/>
  </r>
  <r>
    <x v="13"/>
    <x v="2"/>
    <x v="7"/>
    <x v="186"/>
    <x v="7"/>
    <x v="0"/>
    <n v="12.5"/>
    <n v="0"/>
    <x v="9"/>
    <s v="USO Y GOCE"/>
    <x v="0"/>
    <m/>
    <m/>
    <n v="350"/>
    <n v="350"/>
    <n v="393.75"/>
  </r>
  <r>
    <x v="13"/>
    <x v="2"/>
    <x v="7"/>
    <x v="187"/>
    <x v="7"/>
    <x v="0"/>
    <n v="12.5"/>
    <n v="0"/>
    <x v="9"/>
    <s v="USO Y GOCE"/>
    <x v="0"/>
    <m/>
    <m/>
    <n v="350"/>
    <n v="350"/>
    <n v="393.75"/>
  </r>
  <r>
    <x v="13"/>
    <x v="2"/>
    <x v="7"/>
    <x v="188"/>
    <x v="7"/>
    <x v="0"/>
    <n v="12.5"/>
    <n v="0"/>
    <x v="9"/>
    <s v="USO Y GOCE"/>
    <x v="0"/>
    <m/>
    <m/>
    <n v="350"/>
    <n v="350"/>
    <n v="393.75"/>
  </r>
  <r>
    <x v="13"/>
    <x v="2"/>
    <x v="7"/>
    <x v="189"/>
    <x v="7"/>
    <x v="0"/>
    <n v="12.5"/>
    <n v="0"/>
    <x v="9"/>
    <s v="USO Y GOCE"/>
    <x v="0"/>
    <m/>
    <m/>
    <n v="350"/>
    <n v="350"/>
    <n v="393.75"/>
  </r>
  <r>
    <x v="13"/>
    <x v="2"/>
    <x v="7"/>
    <x v="190"/>
    <x v="7"/>
    <x v="0"/>
    <n v="12.5"/>
    <n v="0"/>
    <x v="9"/>
    <s v="USO Y GOCE"/>
    <x v="0"/>
    <m/>
    <m/>
    <n v="350"/>
    <n v="350"/>
    <n v="393.75"/>
  </r>
  <r>
    <x v="13"/>
    <x v="2"/>
    <x v="7"/>
    <x v="191"/>
    <x v="7"/>
    <x v="0"/>
    <n v="12.5"/>
    <n v="0"/>
    <x v="9"/>
    <s v="USO Y GOCE"/>
    <x v="0"/>
    <m/>
    <m/>
    <n v="350"/>
    <n v="350"/>
    <n v="393.75"/>
  </r>
  <r>
    <x v="13"/>
    <x v="2"/>
    <x v="7"/>
    <x v="192"/>
    <x v="7"/>
    <x v="0"/>
    <n v="12.5"/>
    <n v="0"/>
    <x v="9"/>
    <s v="USO Y GOCE"/>
    <x v="0"/>
    <m/>
    <m/>
    <n v="350"/>
    <n v="350"/>
    <n v="393.75"/>
  </r>
  <r>
    <x v="13"/>
    <x v="2"/>
    <x v="7"/>
    <x v="193"/>
    <x v="7"/>
    <x v="0"/>
    <n v="12.5"/>
    <n v="0"/>
    <x v="9"/>
    <s v="USO Y GOCE"/>
    <x v="0"/>
    <m/>
    <m/>
    <n v="350"/>
    <n v="350"/>
    <n v="393.75"/>
  </r>
  <r>
    <x v="13"/>
    <x v="2"/>
    <x v="7"/>
    <x v="194"/>
    <x v="7"/>
    <x v="0"/>
    <n v="12.5"/>
    <n v="0"/>
    <x v="9"/>
    <s v="USO Y GOCE"/>
    <x v="0"/>
    <s v="E - 103 A"/>
    <m/>
    <n v="225"/>
    <n v="225"/>
    <n v="253.125"/>
  </r>
  <r>
    <x v="13"/>
    <x v="2"/>
    <x v="7"/>
    <x v="7"/>
    <x v="7"/>
    <x v="0"/>
    <n v="12.5"/>
    <n v="0"/>
    <x v="9"/>
    <s v="USO Y GOCE"/>
    <x v="0"/>
    <s v="E - 102 A"/>
    <m/>
    <n v="225"/>
    <n v="225"/>
    <n v="253.125"/>
  </r>
  <r>
    <x v="13"/>
    <x v="2"/>
    <x v="7"/>
    <x v="195"/>
    <x v="7"/>
    <x v="0"/>
    <n v="12.5"/>
    <n v="0"/>
    <x v="4"/>
    <s v="DOMINIO"/>
    <x v="0"/>
    <m/>
    <m/>
    <n v="350"/>
    <n v="350"/>
    <n v="393.75"/>
  </r>
  <r>
    <x v="13"/>
    <x v="2"/>
    <x v="7"/>
    <x v="196"/>
    <x v="7"/>
    <x v="0"/>
    <n v="12.5"/>
    <n v="0"/>
    <x v="4"/>
    <s v="DOMINIO"/>
    <x v="0"/>
    <m/>
    <m/>
    <n v="350"/>
    <n v="350"/>
    <n v="393.75"/>
  </r>
  <r>
    <x v="13"/>
    <x v="2"/>
    <x v="7"/>
    <x v="197"/>
    <x v="7"/>
    <x v="0"/>
    <n v="12.5"/>
    <n v="0"/>
    <x v="4"/>
    <s v="DOMINIO"/>
    <x v="0"/>
    <m/>
    <m/>
    <n v="350"/>
    <n v="350"/>
    <n v="393.75"/>
  </r>
  <r>
    <x v="13"/>
    <x v="2"/>
    <x v="7"/>
    <x v="198"/>
    <x v="7"/>
    <x v="0"/>
    <n v="12.5"/>
    <n v="0"/>
    <x v="4"/>
    <s v="DOMINIO"/>
    <x v="0"/>
    <m/>
    <m/>
    <n v="350"/>
    <n v="350"/>
    <n v="393.75"/>
  </r>
  <r>
    <x v="13"/>
    <x v="2"/>
    <x v="7"/>
    <x v="199"/>
    <x v="7"/>
    <x v="0"/>
    <n v="12.5"/>
    <n v="0"/>
    <x v="4"/>
    <s v="DOMINIO"/>
    <x v="0"/>
    <m/>
    <m/>
    <n v="350"/>
    <n v="350"/>
    <n v="393.75"/>
  </r>
  <r>
    <x v="13"/>
    <x v="2"/>
    <x v="7"/>
    <x v="200"/>
    <x v="7"/>
    <x v="0"/>
    <n v="12.5"/>
    <n v="0"/>
    <x v="4"/>
    <s v="DOMINIO"/>
    <x v="0"/>
    <m/>
    <m/>
    <n v="350"/>
    <n v="350"/>
    <n v="393.75"/>
  </r>
  <r>
    <x v="13"/>
    <x v="2"/>
    <x v="7"/>
    <x v="201"/>
    <x v="7"/>
    <x v="0"/>
    <n v="12.5"/>
    <n v="0"/>
    <x v="4"/>
    <s v="DOMINIO"/>
    <x v="0"/>
    <m/>
    <m/>
    <n v="350"/>
    <n v="350"/>
    <n v="393.75"/>
  </r>
  <r>
    <x v="13"/>
    <x v="2"/>
    <x v="7"/>
    <x v="202"/>
    <x v="7"/>
    <x v="0"/>
    <n v="12.5"/>
    <n v="0"/>
    <x v="4"/>
    <s v="DOMINIO"/>
    <x v="0"/>
    <m/>
    <m/>
    <n v="350"/>
    <n v="350"/>
    <n v="393.75"/>
  </r>
  <r>
    <x v="13"/>
    <x v="2"/>
    <x v="7"/>
    <x v="203"/>
    <x v="7"/>
    <x v="0"/>
    <n v="12.5"/>
    <n v="0"/>
    <x v="9"/>
    <s v="USO Y GOCE"/>
    <x v="0"/>
    <s v="E - 113 A"/>
    <m/>
    <n v="225"/>
    <n v="225"/>
    <n v="253.125"/>
  </r>
  <r>
    <x v="13"/>
    <x v="2"/>
    <x v="7"/>
    <x v="204"/>
    <x v="7"/>
    <x v="0"/>
    <n v="12.5"/>
    <n v="0"/>
    <x v="9"/>
    <s v="USO Y GOCE"/>
    <x v="0"/>
    <s v="E - 112 A"/>
    <m/>
    <n v="225"/>
    <n v="225"/>
    <n v="253.125"/>
  </r>
  <r>
    <x v="13"/>
    <x v="2"/>
    <x v="7"/>
    <x v="205"/>
    <x v="7"/>
    <x v="0"/>
    <n v="12.5"/>
    <n v="0"/>
    <x v="9"/>
    <s v="USO Y GOCE"/>
    <x v="0"/>
    <s v="E - 115 A"/>
    <m/>
    <n v="225"/>
    <n v="225"/>
    <n v="253.125"/>
  </r>
  <r>
    <x v="13"/>
    <x v="2"/>
    <x v="7"/>
    <x v="206"/>
    <x v="7"/>
    <x v="0"/>
    <n v="12.5"/>
    <n v="0"/>
    <x v="9"/>
    <s v="USO Y GOCE"/>
    <x v="0"/>
    <s v="E - 114 A"/>
    <m/>
    <n v="225"/>
    <n v="225"/>
    <n v="253.125"/>
  </r>
  <r>
    <x v="14"/>
    <x v="0"/>
    <x v="0"/>
    <x v="230"/>
    <x v="13"/>
    <x v="2"/>
    <n v="32.25"/>
    <n v="2.81"/>
    <x v="3"/>
    <s v="DOMINIO"/>
    <x v="0"/>
    <m/>
    <m/>
    <n v="2601"/>
    <n v="2340.9"/>
    <n v="2633.5124999999998"/>
  </r>
  <r>
    <x v="14"/>
    <x v="0"/>
    <x v="10"/>
    <x v="195"/>
    <x v="6"/>
    <x v="2"/>
    <n v="46.92"/>
    <n v="2.4700000000000002"/>
    <x v="0"/>
    <s v="DOMINIO"/>
    <x v="0"/>
    <m/>
    <m/>
    <n v="3174"/>
    <n v="2856.6"/>
    <n v="3213.6749999999997"/>
  </r>
  <r>
    <x v="14"/>
    <x v="0"/>
    <x v="10"/>
    <x v="379"/>
    <x v="8"/>
    <x v="2"/>
    <n v="46.66"/>
    <n v="2.4700000000000002"/>
    <x v="0"/>
    <s v="DOMINIO"/>
    <x v="0"/>
    <m/>
    <m/>
    <n v="3280"/>
    <n v="2952"/>
    <n v="3321"/>
  </r>
  <r>
    <x v="14"/>
    <x v="0"/>
    <x v="10"/>
    <x v="78"/>
    <x v="5"/>
    <x v="2"/>
    <n v="46.6"/>
    <n v="2.5299999999999998"/>
    <x v="3"/>
    <s v="DOMINIO"/>
    <x v="0"/>
    <m/>
    <m/>
    <n v="3245"/>
    <n v="2920.5"/>
    <n v="3285.5624999999995"/>
  </r>
  <r>
    <x v="14"/>
    <x v="0"/>
    <x v="10"/>
    <x v="335"/>
    <x v="5"/>
    <x v="2"/>
    <n v="46.89"/>
    <n v="2.5"/>
    <x v="3"/>
    <s v="DOMINIO"/>
    <x v="0"/>
    <m/>
    <m/>
    <n v="3245"/>
    <n v="2920.5"/>
    <n v="3285.5624999999995"/>
  </r>
  <r>
    <x v="14"/>
    <x v="0"/>
    <x v="10"/>
    <x v="241"/>
    <x v="10"/>
    <x v="2"/>
    <n v="46.89"/>
    <n v="2.5"/>
    <x v="0"/>
    <s v="DOMINIO"/>
    <x v="0"/>
    <m/>
    <m/>
    <n v="3315"/>
    <n v="2983.5"/>
    <n v="3356.4375"/>
  </r>
  <r>
    <x v="14"/>
    <x v="0"/>
    <x v="10"/>
    <x v="400"/>
    <x v="12"/>
    <x v="2"/>
    <n v="46.6"/>
    <n v="2.5299999999999998"/>
    <x v="0"/>
    <s v="DOMINIO"/>
    <x v="0"/>
    <m/>
    <m/>
    <n v="3333"/>
    <n v="2999.7000000000003"/>
    <n v="3374.6625000000004"/>
  </r>
  <r>
    <x v="14"/>
    <x v="0"/>
    <x v="10"/>
    <x v="88"/>
    <x v="14"/>
    <x v="2"/>
    <n v="46.55"/>
    <n v="2.59"/>
    <x v="3"/>
    <s v="DOMINIO"/>
    <x v="0"/>
    <m/>
    <m/>
    <n v="3286"/>
    <n v="2957.4"/>
    <n v="3327.0749999999998"/>
  </r>
  <r>
    <x v="14"/>
    <x v="0"/>
    <x v="10"/>
    <x v="550"/>
    <x v="14"/>
    <x v="2"/>
    <n v="46.87"/>
    <n v="2.5299999999999998"/>
    <x v="3"/>
    <s v="DOMINIO"/>
    <x v="0"/>
    <m/>
    <m/>
    <n v="3286"/>
    <n v="2957.4"/>
    <n v="3327.0749999999998"/>
  </r>
  <r>
    <x v="14"/>
    <x v="0"/>
    <x v="10"/>
    <x v="92"/>
    <x v="16"/>
    <x v="2"/>
    <n v="46.55"/>
    <n v="2.59"/>
    <x v="3"/>
    <s v="DOMINIO"/>
    <x v="0"/>
    <m/>
    <m/>
    <n v="3298"/>
    <n v="2968.2000000000003"/>
    <n v="3339.2249999999999"/>
  </r>
  <r>
    <x v="14"/>
    <x v="0"/>
    <x v="10"/>
    <x v="667"/>
    <x v="16"/>
    <x v="2"/>
    <n v="46.87"/>
    <n v="2.5299999999999998"/>
    <x v="0"/>
    <s v="DOMINIO"/>
    <x v="0"/>
    <m/>
    <m/>
    <n v="3356"/>
    <n v="3020.4"/>
    <n v="3397.95"/>
  </r>
  <r>
    <x v="14"/>
    <x v="0"/>
    <x v="10"/>
    <x v="50"/>
    <x v="16"/>
    <x v="2"/>
    <n v="46.55"/>
    <n v="2.59"/>
    <x v="0"/>
    <s v="DOMINIO"/>
    <x v="0"/>
    <m/>
    <m/>
    <n v="3356"/>
    <n v="3020.4"/>
    <n v="3397.95"/>
  </r>
  <r>
    <x v="14"/>
    <x v="0"/>
    <x v="10"/>
    <x v="94"/>
    <x v="17"/>
    <x v="2"/>
    <n v="46.55"/>
    <n v="2.59"/>
    <x v="3"/>
    <s v="DOMINIO"/>
    <x v="0"/>
    <m/>
    <m/>
    <n v="3304"/>
    <n v="2973.6"/>
    <n v="3345.2999999999997"/>
  </r>
  <r>
    <x v="14"/>
    <x v="0"/>
    <x v="10"/>
    <x v="96"/>
    <x v="1"/>
    <x v="2"/>
    <n v="46.55"/>
    <n v="2.59"/>
    <x v="3"/>
    <s v="DOMINIO"/>
    <x v="0"/>
    <m/>
    <m/>
    <n v="3309"/>
    <n v="2978.1"/>
    <n v="3350.3624999999997"/>
  </r>
  <r>
    <x v="14"/>
    <x v="0"/>
    <x v="10"/>
    <x v="671"/>
    <x v="1"/>
    <x v="2"/>
    <n v="46.87"/>
    <n v="2.5299999999999998"/>
    <x v="0"/>
    <s v="DOMINIO"/>
    <x v="0"/>
    <m/>
    <m/>
    <n v="3368"/>
    <n v="3031.2000000000003"/>
    <n v="3410.1000000000004"/>
  </r>
  <r>
    <x v="14"/>
    <x v="0"/>
    <x v="10"/>
    <x v="60"/>
    <x v="1"/>
    <x v="2"/>
    <n v="46.55"/>
    <n v="2.59"/>
    <x v="0"/>
    <s v="DOMINIO"/>
    <x v="0"/>
    <m/>
    <m/>
    <n v="3368"/>
    <n v="3031.2000000000003"/>
    <n v="3410.1000000000004"/>
  </r>
  <r>
    <x v="14"/>
    <x v="0"/>
    <x v="10"/>
    <x v="98"/>
    <x v="18"/>
    <x v="2"/>
    <n v="46.55"/>
    <n v="2.59"/>
    <x v="3"/>
    <s v="DOMINIO"/>
    <x v="0"/>
    <m/>
    <m/>
    <n v="3315"/>
    <n v="2983.5"/>
    <n v="3356.4375"/>
  </r>
  <r>
    <x v="14"/>
    <x v="0"/>
    <x v="10"/>
    <x v="672"/>
    <x v="18"/>
    <x v="2"/>
    <n v="46.87"/>
    <n v="2.5299999999999998"/>
    <x v="3"/>
    <s v="DOMINIO"/>
    <x v="0"/>
    <m/>
    <m/>
    <n v="3315"/>
    <n v="2983.5"/>
    <n v="3356.4375"/>
  </r>
  <r>
    <x v="14"/>
    <x v="0"/>
    <x v="10"/>
    <x v="673"/>
    <x v="18"/>
    <x v="2"/>
    <n v="46.87"/>
    <n v="2.5299999999999998"/>
    <x v="0"/>
    <s v="DOMINIO"/>
    <x v="0"/>
    <m/>
    <m/>
    <n v="3374"/>
    <n v="3036.6"/>
    <n v="3416.1749999999997"/>
  </r>
  <r>
    <x v="14"/>
    <x v="0"/>
    <x v="4"/>
    <x v="281"/>
    <x v="4"/>
    <x v="2"/>
    <n v="44.37"/>
    <n v="2.57"/>
    <x v="0"/>
    <s v="DOMINIO"/>
    <x v="0"/>
    <m/>
    <m/>
    <n v="3088"/>
    <n v="2779.2000000000003"/>
    <n v="3126.6"/>
  </r>
  <r>
    <x v="14"/>
    <x v="0"/>
    <x v="4"/>
    <x v="284"/>
    <x v="8"/>
    <x v="2"/>
    <n v="44.37"/>
    <n v="2.57"/>
    <x v="3"/>
    <s v="DOMINIO"/>
    <x v="0"/>
    <m/>
    <m/>
    <n v="3053"/>
    <n v="2747.7000000000003"/>
    <n v="3091.1625000000004"/>
  </r>
  <r>
    <x v="14"/>
    <x v="0"/>
    <x v="4"/>
    <x v="285"/>
    <x v="8"/>
    <x v="2"/>
    <n v="44.37"/>
    <n v="2.57"/>
    <x v="0"/>
    <s v="DOMINIO"/>
    <x v="0"/>
    <m/>
    <m/>
    <n v="3112"/>
    <n v="2800.8"/>
    <n v="3150.9"/>
  </r>
  <r>
    <x v="14"/>
    <x v="0"/>
    <x v="4"/>
    <x v="330"/>
    <x v="9"/>
    <x v="2"/>
    <n v="44.53"/>
    <n v="2.57"/>
    <x v="1"/>
    <s v="DOMINIO"/>
    <x v="0"/>
    <m/>
    <m/>
    <n v="3124"/>
    <n v="2811.6"/>
    <n v="3163.0499999999997"/>
  </r>
  <r>
    <x v="14"/>
    <x v="0"/>
    <x v="4"/>
    <x v="239"/>
    <x v="9"/>
    <x v="2"/>
    <n v="45.04"/>
    <n v="2.6"/>
    <x v="0"/>
    <s v="DOMINIO"/>
    <x v="0"/>
    <m/>
    <m/>
    <n v="3124"/>
    <n v="2811.6"/>
    <n v="3163.0499999999997"/>
  </r>
  <r>
    <x v="14"/>
    <x v="0"/>
    <x v="4"/>
    <x v="331"/>
    <x v="9"/>
    <x v="2"/>
    <n v="45.04"/>
    <n v="2.6"/>
    <x v="3"/>
    <s v="DOMINIO"/>
    <x v="0"/>
    <m/>
    <m/>
    <n v="3065"/>
    <n v="2758.5"/>
    <n v="3103.3125"/>
  </r>
  <r>
    <x v="14"/>
    <x v="0"/>
    <x v="4"/>
    <x v="287"/>
    <x v="5"/>
    <x v="2"/>
    <n v="44.34"/>
    <n v="2.6"/>
    <x v="0"/>
    <s v="DOMINIO"/>
    <x v="0"/>
    <m/>
    <m/>
    <n v="3135"/>
    <n v="2821.5"/>
    <n v="3174.1874999999995"/>
  </r>
  <r>
    <x v="14"/>
    <x v="0"/>
    <x v="4"/>
    <x v="384"/>
    <x v="10"/>
    <x v="2"/>
    <n v="45.04"/>
    <n v="2.6"/>
    <x v="0"/>
    <s v="DOMINIO"/>
    <x v="0"/>
    <m/>
    <m/>
    <n v="3147"/>
    <n v="2832.3"/>
    <n v="3186.3375000000001"/>
  </r>
  <r>
    <x v="14"/>
    <x v="0"/>
    <x v="4"/>
    <x v="29"/>
    <x v="11"/>
    <x v="2"/>
    <n v="44.53"/>
    <n v="2.57"/>
    <x v="3"/>
    <s v="DOMINIO"/>
    <x v="0"/>
    <m/>
    <m/>
    <n v="3100"/>
    <n v="2790"/>
    <n v="3138.75"/>
  </r>
  <r>
    <x v="14"/>
    <x v="0"/>
    <x v="4"/>
    <x v="536"/>
    <x v="12"/>
    <x v="2"/>
    <n v="44.34"/>
    <n v="2.6"/>
    <x v="0"/>
    <s v="DOMINIO"/>
    <x v="0"/>
    <m/>
    <m/>
    <n v="3165"/>
    <n v="2848.5"/>
    <n v="3204.5625"/>
  </r>
  <r>
    <x v="14"/>
    <x v="0"/>
    <x v="4"/>
    <x v="539"/>
    <x v="14"/>
    <x v="2"/>
    <n v="44.32"/>
    <n v="2.63"/>
    <x v="0"/>
    <s v="DOMINIO"/>
    <x v="0"/>
    <m/>
    <m/>
    <n v="3176"/>
    <n v="2858.4"/>
    <n v="3215.7"/>
  </r>
  <r>
    <x v="14"/>
    <x v="0"/>
    <x v="4"/>
    <x v="89"/>
    <x v="15"/>
    <x v="2"/>
    <n v="44.32"/>
    <n v="2.63"/>
    <x v="3"/>
    <s v="DOMINIO"/>
    <x v="0"/>
    <m/>
    <m/>
    <n v="3124"/>
    <n v="2811.6"/>
    <n v="3163.0499999999997"/>
  </r>
  <r>
    <x v="14"/>
    <x v="0"/>
    <x v="4"/>
    <x v="676"/>
    <x v="15"/>
    <x v="2"/>
    <n v="44.46"/>
    <n v="2.63"/>
    <x v="0"/>
    <s v="DOMINIO"/>
    <x v="0"/>
    <m/>
    <m/>
    <n v="3182"/>
    <n v="2863.8"/>
    <n v="3221.7750000000001"/>
  </r>
  <r>
    <x v="14"/>
    <x v="0"/>
    <x v="4"/>
    <x v="677"/>
    <x v="15"/>
    <x v="2"/>
    <n v="45.01"/>
    <n v="2.63"/>
    <x v="0"/>
    <s v="DOMINIO"/>
    <x v="0"/>
    <m/>
    <m/>
    <n v="3182"/>
    <n v="2863.8"/>
    <n v="3221.7750000000001"/>
  </r>
  <r>
    <x v="14"/>
    <x v="0"/>
    <x v="4"/>
    <x v="91"/>
    <x v="16"/>
    <x v="2"/>
    <n v="44.32"/>
    <n v="2.63"/>
    <x v="3"/>
    <s v="DOMINIO"/>
    <x v="0"/>
    <m/>
    <m/>
    <n v="3129"/>
    <n v="2816.1"/>
    <n v="3168.1124999999997"/>
  </r>
  <r>
    <x v="14"/>
    <x v="0"/>
    <x v="4"/>
    <x v="678"/>
    <x v="16"/>
    <x v="2"/>
    <n v="44.32"/>
    <n v="2.63"/>
    <x v="0"/>
    <s v="DOMINIO"/>
    <x v="0"/>
    <m/>
    <m/>
    <n v="3188"/>
    <n v="2869.2000000000003"/>
    <n v="3227.85"/>
  </r>
  <r>
    <x v="14"/>
    <x v="0"/>
    <x v="4"/>
    <x v="679"/>
    <x v="16"/>
    <x v="2"/>
    <n v="44.46"/>
    <n v="2.63"/>
    <x v="0"/>
    <s v="DOMINIO"/>
    <x v="0"/>
    <m/>
    <m/>
    <n v="3188"/>
    <n v="2869.2000000000003"/>
    <n v="3227.85"/>
  </r>
  <r>
    <x v="14"/>
    <x v="0"/>
    <x v="4"/>
    <x v="682"/>
    <x v="17"/>
    <x v="2"/>
    <n v="44.32"/>
    <n v="2.63"/>
    <x v="0"/>
    <s v="DOMINIO"/>
    <x v="0"/>
    <m/>
    <m/>
    <n v="3194"/>
    <n v="2874.6"/>
    <n v="3233.9249999999997"/>
  </r>
  <r>
    <x v="14"/>
    <x v="0"/>
    <x v="4"/>
    <x v="683"/>
    <x v="17"/>
    <x v="2"/>
    <n v="44.46"/>
    <n v="2.63"/>
    <x v="0"/>
    <s v="DOMINIO"/>
    <x v="0"/>
    <m/>
    <m/>
    <n v="3194"/>
    <n v="2874.6"/>
    <n v="3233.9249999999997"/>
  </r>
  <r>
    <x v="14"/>
    <x v="0"/>
    <x v="4"/>
    <x v="685"/>
    <x v="17"/>
    <x v="2"/>
    <n v="45.01"/>
    <n v="2.63"/>
    <x v="3"/>
    <s v="DOMINIO"/>
    <x v="0"/>
    <m/>
    <m/>
    <n v="3135"/>
    <n v="2821.5"/>
    <n v="3174.1874999999995"/>
  </r>
  <r>
    <x v="14"/>
    <x v="0"/>
    <x v="4"/>
    <x v="58"/>
    <x v="17"/>
    <x v="2"/>
    <n v="44.46"/>
    <n v="2.63"/>
    <x v="3"/>
    <s v="DOMINIO"/>
    <x v="0"/>
    <m/>
    <m/>
    <n v="3135"/>
    <n v="2821.5"/>
    <n v="3174.1874999999995"/>
  </r>
  <r>
    <x v="14"/>
    <x v="0"/>
    <x v="4"/>
    <x v="95"/>
    <x v="1"/>
    <x v="2"/>
    <n v="44.32"/>
    <n v="2.63"/>
    <x v="3"/>
    <s v="DOMINIO"/>
    <x v="0"/>
    <m/>
    <m/>
    <n v="3141"/>
    <n v="2826.9"/>
    <n v="3180.2624999999998"/>
  </r>
  <r>
    <x v="14"/>
    <x v="0"/>
    <x v="4"/>
    <x v="1"/>
    <x v="1"/>
    <x v="2"/>
    <n v="44.32"/>
    <n v="2.63"/>
    <x v="0"/>
    <s v="DOMINIO"/>
    <x v="0"/>
    <m/>
    <m/>
    <n v="3200"/>
    <n v="2880"/>
    <n v="3240"/>
  </r>
  <r>
    <x v="14"/>
    <x v="0"/>
    <x v="4"/>
    <x v="686"/>
    <x v="1"/>
    <x v="2"/>
    <n v="44.46"/>
    <n v="2.63"/>
    <x v="7"/>
    <s v="DOMINIO"/>
    <x v="0"/>
    <m/>
    <m/>
    <n v="3200"/>
    <n v="2880"/>
    <n v="3240"/>
  </r>
  <r>
    <x v="14"/>
    <x v="0"/>
    <x v="4"/>
    <x v="687"/>
    <x v="1"/>
    <x v="2"/>
    <n v="45.01"/>
    <n v="2.63"/>
    <x v="0"/>
    <s v="DOMINIO"/>
    <x v="0"/>
    <m/>
    <m/>
    <n v="3200"/>
    <n v="2880"/>
    <n v="3240"/>
  </r>
  <r>
    <x v="14"/>
    <x v="0"/>
    <x v="4"/>
    <x v="688"/>
    <x v="1"/>
    <x v="2"/>
    <n v="45.01"/>
    <n v="2.63"/>
    <x v="3"/>
    <s v="DOMINIO"/>
    <x v="0"/>
    <m/>
    <m/>
    <n v="3141"/>
    <n v="2826.9"/>
    <n v="3180.2624999999998"/>
  </r>
  <r>
    <x v="14"/>
    <x v="0"/>
    <x v="4"/>
    <x v="63"/>
    <x v="1"/>
    <x v="2"/>
    <n v="44.46"/>
    <n v="2.63"/>
    <x v="3"/>
    <s v="DOMINIO"/>
    <x v="0"/>
    <m/>
    <m/>
    <n v="3141"/>
    <n v="2826.9"/>
    <n v="3180.2624999999998"/>
  </r>
  <r>
    <x v="14"/>
    <x v="0"/>
    <x v="4"/>
    <x v="97"/>
    <x v="18"/>
    <x v="2"/>
    <n v="44.32"/>
    <n v="2.63"/>
    <x v="1"/>
    <s v="DOMINIO"/>
    <x v="0"/>
    <m/>
    <m/>
    <n v="3147"/>
    <n v="2832.3"/>
    <n v="3186.3375000000001"/>
  </r>
  <r>
    <x v="14"/>
    <x v="0"/>
    <x v="4"/>
    <x v="690"/>
    <x v="18"/>
    <x v="2"/>
    <n v="44.46"/>
    <n v="2.63"/>
    <x v="0"/>
    <s v="DOMINIO"/>
    <x v="0"/>
    <m/>
    <m/>
    <n v="3206"/>
    <n v="2885.4"/>
    <n v="3246.0749999999998"/>
  </r>
  <r>
    <x v="14"/>
    <x v="0"/>
    <x v="4"/>
    <x v="691"/>
    <x v="18"/>
    <x v="2"/>
    <n v="45.01"/>
    <n v="2.63"/>
    <x v="0"/>
    <s v="DOMINIO"/>
    <x v="0"/>
    <m/>
    <m/>
    <n v="3206"/>
    <n v="2885.4"/>
    <n v="3246.0749999999998"/>
  </r>
  <r>
    <x v="14"/>
    <x v="2"/>
    <x v="7"/>
    <x v="128"/>
    <x v="0"/>
    <x v="2"/>
    <n v="12.5"/>
    <n v="0"/>
    <x v="4"/>
    <s v="DOMINIO"/>
    <x v="0"/>
    <m/>
    <m/>
    <n v="350"/>
    <n v="350"/>
    <n v="393.75"/>
  </r>
  <r>
    <x v="14"/>
    <x v="2"/>
    <x v="7"/>
    <x v="136"/>
    <x v="0"/>
    <x v="2"/>
    <n v="12.5"/>
    <n v="0"/>
    <x v="4"/>
    <s v="DOMINIO"/>
    <x v="0"/>
    <m/>
    <m/>
    <n v="350"/>
    <n v="350"/>
    <n v="393.75"/>
  </r>
  <r>
    <x v="14"/>
    <x v="2"/>
    <x v="7"/>
    <x v="142"/>
    <x v="0"/>
    <x v="2"/>
    <n v="12.5"/>
    <n v="0"/>
    <x v="4"/>
    <s v="DOMINIO"/>
    <x v="0"/>
    <s v="E - 48 B"/>
    <m/>
    <n v="225"/>
    <n v="225"/>
    <n v="253.125"/>
  </r>
  <r>
    <x v="14"/>
    <x v="2"/>
    <x v="7"/>
    <x v="143"/>
    <x v="0"/>
    <x v="2"/>
    <n v="12.5"/>
    <n v="0"/>
    <x v="4"/>
    <s v="DOMINIO"/>
    <x v="0"/>
    <s v="E - 47 B"/>
    <m/>
    <n v="225"/>
    <n v="225"/>
    <n v="253.125"/>
  </r>
  <r>
    <x v="14"/>
    <x v="2"/>
    <x v="7"/>
    <x v="168"/>
    <x v="0"/>
    <x v="2"/>
    <n v="12.5"/>
    <n v="0"/>
    <x v="4"/>
    <s v="DOMINIO"/>
    <x v="0"/>
    <m/>
    <m/>
    <n v="350"/>
    <n v="350"/>
    <n v="393.75"/>
  </r>
  <r>
    <x v="14"/>
    <x v="2"/>
    <x v="7"/>
    <x v="169"/>
    <x v="0"/>
    <x v="2"/>
    <n v="12.5"/>
    <n v="0"/>
    <x v="4"/>
    <s v="DOMINIO"/>
    <x v="0"/>
    <m/>
    <m/>
    <n v="350"/>
    <n v="350"/>
    <n v="393.75"/>
  </r>
  <r>
    <x v="14"/>
    <x v="2"/>
    <x v="7"/>
    <x v="398"/>
    <x v="0"/>
    <x v="2"/>
    <n v="12.5"/>
    <n v="0"/>
    <x v="4"/>
    <s v="DOMINIO"/>
    <x v="0"/>
    <m/>
    <m/>
    <n v="350"/>
    <n v="350"/>
    <n v="393.75"/>
  </r>
  <r>
    <x v="14"/>
    <x v="2"/>
    <x v="7"/>
    <x v="171"/>
    <x v="0"/>
    <x v="2"/>
    <n v="12.5"/>
    <n v="0"/>
    <x v="4"/>
    <s v="DOMINIO"/>
    <x v="0"/>
    <s v="E - 58 B"/>
    <m/>
    <n v="225"/>
    <n v="225"/>
    <n v="253.125"/>
  </r>
  <r>
    <x v="14"/>
    <x v="2"/>
    <x v="7"/>
    <x v="399"/>
    <x v="0"/>
    <x v="2"/>
    <n v="12.5"/>
    <n v="0"/>
    <x v="4"/>
    <s v="DOMINIO"/>
    <x v="0"/>
    <s v="E - 57 B"/>
    <m/>
    <n v="225"/>
    <n v="225"/>
    <n v="253.125"/>
  </r>
  <r>
    <x v="14"/>
    <x v="2"/>
    <x v="7"/>
    <x v="172"/>
    <x v="0"/>
    <x v="2"/>
    <n v="12.5"/>
    <n v="0"/>
    <x v="4"/>
    <s v="DOMINIO"/>
    <x v="0"/>
    <s v="E - 60 B"/>
    <m/>
    <n v="225"/>
    <n v="225"/>
    <n v="253.125"/>
  </r>
  <r>
    <x v="14"/>
    <x v="2"/>
    <x v="7"/>
    <x v="147"/>
    <x v="0"/>
    <x v="2"/>
    <n v="12.5"/>
    <n v="0"/>
    <x v="4"/>
    <s v="DOMINIO"/>
    <x v="0"/>
    <s v="E - 59 B"/>
    <m/>
    <n v="225"/>
    <n v="225"/>
    <n v="253.125"/>
  </r>
  <r>
    <x v="14"/>
    <x v="2"/>
    <x v="7"/>
    <x v="148"/>
    <x v="4"/>
    <x v="2"/>
    <n v="12.5"/>
    <n v="0"/>
    <x v="4"/>
    <s v="DOMINIO"/>
    <x v="0"/>
    <m/>
    <m/>
    <n v="350"/>
    <n v="350"/>
    <n v="393.75"/>
  </r>
  <r>
    <x v="14"/>
    <x v="2"/>
    <x v="7"/>
    <x v="149"/>
    <x v="4"/>
    <x v="2"/>
    <n v="12.5"/>
    <n v="0"/>
    <x v="4"/>
    <s v="DOMINIO"/>
    <x v="0"/>
    <m/>
    <m/>
    <n v="350"/>
    <n v="350"/>
    <n v="393.75"/>
  </r>
  <r>
    <x v="14"/>
    <x v="2"/>
    <x v="7"/>
    <x v="175"/>
    <x v="4"/>
    <x v="2"/>
    <n v="12.5"/>
    <n v="0"/>
    <x v="4"/>
    <s v="DOMINIO"/>
    <x v="0"/>
    <m/>
    <m/>
    <n v="350"/>
    <n v="350"/>
    <n v="393.75"/>
  </r>
  <r>
    <x v="14"/>
    <x v="2"/>
    <x v="7"/>
    <x v="150"/>
    <x v="4"/>
    <x v="2"/>
    <n v="12.5"/>
    <n v="0"/>
    <x v="4"/>
    <s v="DOMINIO"/>
    <x v="0"/>
    <m/>
    <m/>
    <n v="350"/>
    <n v="350"/>
    <n v="393.75"/>
  </r>
  <r>
    <x v="14"/>
    <x v="2"/>
    <x v="7"/>
    <x v="176"/>
    <x v="4"/>
    <x v="2"/>
    <n v="12.5"/>
    <n v="0"/>
    <x v="4"/>
    <s v="DOMINIO"/>
    <x v="0"/>
    <m/>
    <m/>
    <n v="350"/>
    <n v="350"/>
    <n v="393.75"/>
  </r>
  <r>
    <x v="14"/>
    <x v="2"/>
    <x v="7"/>
    <x v="152"/>
    <x v="4"/>
    <x v="2"/>
    <n v="12.5"/>
    <n v="0"/>
    <x v="4"/>
    <s v="DOMINIO"/>
    <x v="0"/>
    <m/>
    <m/>
    <n v="350"/>
    <n v="350"/>
    <n v="393.75"/>
  </r>
  <r>
    <x v="14"/>
    <x v="2"/>
    <x v="7"/>
    <x v="177"/>
    <x v="4"/>
    <x v="2"/>
    <n v="12.5"/>
    <n v="0"/>
    <x v="4"/>
    <s v="DOMINIO"/>
    <x v="0"/>
    <m/>
    <m/>
    <n v="350"/>
    <n v="350"/>
    <n v="393.75"/>
  </r>
  <r>
    <x v="14"/>
    <x v="2"/>
    <x v="7"/>
    <x v="156"/>
    <x v="4"/>
    <x v="2"/>
    <n v="12.5"/>
    <n v="0"/>
    <x v="4"/>
    <s v="DOMINIO"/>
    <x v="0"/>
    <m/>
    <m/>
    <n v="350"/>
    <n v="350"/>
    <n v="393.75"/>
  </r>
  <r>
    <x v="14"/>
    <x v="2"/>
    <x v="7"/>
    <x v="157"/>
    <x v="4"/>
    <x v="2"/>
    <n v="12.5"/>
    <n v="0"/>
    <x v="4"/>
    <s v="DOMINIO"/>
    <x v="0"/>
    <s v="E - 76 B"/>
    <m/>
    <n v="225"/>
    <n v="225"/>
    <n v="253.125"/>
  </r>
  <r>
    <x v="14"/>
    <x v="2"/>
    <x v="7"/>
    <x v="158"/>
    <x v="4"/>
    <x v="2"/>
    <n v="12.5"/>
    <n v="0"/>
    <x v="4"/>
    <s v="DOMINIO"/>
    <x v="0"/>
    <s v="E - 75 B"/>
    <m/>
    <n v="225"/>
    <n v="225"/>
    <n v="253.125"/>
  </r>
  <r>
    <x v="14"/>
    <x v="2"/>
    <x v="7"/>
    <x v="159"/>
    <x v="4"/>
    <x v="2"/>
    <n v="12.5"/>
    <n v="0"/>
    <x v="4"/>
    <s v="DOMINIO"/>
    <x v="0"/>
    <m/>
    <m/>
    <n v="350"/>
    <n v="350"/>
    <n v="393.75"/>
  </r>
  <r>
    <x v="14"/>
    <x v="2"/>
    <x v="7"/>
    <x v="160"/>
    <x v="4"/>
    <x v="2"/>
    <n v="12.5"/>
    <n v="0"/>
    <x v="4"/>
    <s v="DOMINIO"/>
    <x v="0"/>
    <m/>
    <m/>
    <n v="350"/>
    <n v="350"/>
    <n v="393.75"/>
  </r>
  <r>
    <x v="14"/>
    <x v="2"/>
    <x v="7"/>
    <x v="161"/>
    <x v="4"/>
    <x v="2"/>
    <n v="12.5"/>
    <n v="0"/>
    <x v="4"/>
    <s v="DOMINIO"/>
    <x v="0"/>
    <m/>
    <m/>
    <n v="350"/>
    <n v="350"/>
    <n v="393.75"/>
  </r>
  <r>
    <x v="14"/>
    <x v="2"/>
    <x v="7"/>
    <x v="162"/>
    <x v="4"/>
    <x v="2"/>
    <n v="12.5"/>
    <n v="0"/>
    <x v="4"/>
    <s v="DOMINIO"/>
    <x v="0"/>
    <m/>
    <m/>
    <n v="350"/>
    <n v="350"/>
    <n v="393.75"/>
  </r>
  <r>
    <x v="14"/>
    <x v="2"/>
    <x v="7"/>
    <x v="163"/>
    <x v="4"/>
    <x v="2"/>
    <n v="12.5"/>
    <n v="0"/>
    <x v="4"/>
    <s v="DOMINIO"/>
    <x v="0"/>
    <m/>
    <m/>
    <n v="350"/>
    <n v="350"/>
    <n v="393.75"/>
  </r>
  <r>
    <x v="14"/>
    <x v="2"/>
    <x v="7"/>
    <x v="164"/>
    <x v="4"/>
    <x v="2"/>
    <n v="12.5"/>
    <n v="0"/>
    <x v="4"/>
    <s v="DOMINIO"/>
    <x v="0"/>
    <m/>
    <m/>
    <n v="350"/>
    <n v="350"/>
    <n v="393.75"/>
  </r>
  <r>
    <x v="14"/>
    <x v="2"/>
    <x v="7"/>
    <x v="178"/>
    <x v="4"/>
    <x v="2"/>
    <n v="12.5"/>
    <n v="0"/>
    <x v="4"/>
    <s v="DOMINIO"/>
    <x v="0"/>
    <m/>
    <m/>
    <n v="350"/>
    <n v="350"/>
    <n v="393.75"/>
  </r>
  <r>
    <x v="14"/>
    <x v="2"/>
    <x v="7"/>
    <x v="534"/>
    <x v="4"/>
    <x v="2"/>
    <n v="12.5"/>
    <n v="0"/>
    <x v="4"/>
    <s v="DOMINIO"/>
    <x v="0"/>
    <m/>
    <m/>
    <n v="350"/>
    <n v="350"/>
    <n v="393.75"/>
  </r>
  <r>
    <x v="14"/>
    <x v="2"/>
    <x v="7"/>
    <x v="179"/>
    <x v="4"/>
    <x v="2"/>
    <n v="12.5"/>
    <n v="0"/>
    <x v="4"/>
    <s v="DOMINIO"/>
    <x v="0"/>
    <s v="E - 86 B"/>
    <m/>
    <n v="225"/>
    <n v="225"/>
    <n v="253.125"/>
  </r>
  <r>
    <x v="14"/>
    <x v="2"/>
    <x v="7"/>
    <x v="535"/>
    <x v="4"/>
    <x v="2"/>
    <n v="12.5"/>
    <n v="0"/>
    <x v="4"/>
    <s v="DOMINIO"/>
    <x v="0"/>
    <s v="E - 85 B"/>
    <m/>
    <n v="225"/>
    <n v="225"/>
    <n v="253.125"/>
  </r>
  <r>
    <x v="14"/>
    <x v="2"/>
    <x v="7"/>
    <x v="417"/>
    <x v="4"/>
    <x v="2"/>
    <n v="12.5"/>
    <n v="0"/>
    <x v="4"/>
    <s v="DOMINIO"/>
    <x v="0"/>
    <s v="E - 88 B"/>
    <m/>
    <n v="225"/>
    <n v="225"/>
    <n v="253.125"/>
  </r>
  <r>
    <x v="14"/>
    <x v="2"/>
    <x v="7"/>
    <x v="180"/>
    <x v="4"/>
    <x v="2"/>
    <n v="12.5"/>
    <n v="0"/>
    <x v="4"/>
    <s v="DOMINIO"/>
    <x v="0"/>
    <s v="E - 87 B"/>
    <m/>
    <n v="225"/>
    <n v="225"/>
    <n v="253.125"/>
  </r>
  <r>
    <x v="14"/>
    <x v="2"/>
    <x v="7"/>
    <x v="182"/>
    <x v="7"/>
    <x v="2"/>
    <n v="12.5"/>
    <n v="0"/>
    <x v="4"/>
    <s v="DOMINIO"/>
    <x v="0"/>
    <m/>
    <m/>
    <n v="350"/>
    <n v="350"/>
    <n v="393.75"/>
  </r>
  <r>
    <x v="14"/>
    <x v="2"/>
    <x v="7"/>
    <x v="183"/>
    <x v="7"/>
    <x v="2"/>
    <n v="12.5"/>
    <n v="0"/>
    <x v="4"/>
    <s v="DOMINIO"/>
    <x v="0"/>
    <m/>
    <m/>
    <n v="350"/>
    <n v="350"/>
    <n v="393.75"/>
  </r>
  <r>
    <x v="14"/>
    <x v="2"/>
    <x v="7"/>
    <x v="184"/>
    <x v="7"/>
    <x v="2"/>
    <n v="12.5"/>
    <n v="0"/>
    <x v="4"/>
    <s v="DOMINIO"/>
    <x v="0"/>
    <m/>
    <m/>
    <n v="350"/>
    <n v="350"/>
    <n v="393.75"/>
  </r>
  <r>
    <x v="14"/>
    <x v="2"/>
    <x v="7"/>
    <x v="186"/>
    <x v="7"/>
    <x v="2"/>
    <n v="12.5"/>
    <n v="0"/>
    <x v="4"/>
    <s v="DOMINIO"/>
    <x v="0"/>
    <m/>
    <m/>
    <n v="350"/>
    <n v="350"/>
    <n v="393.75"/>
  </r>
  <r>
    <x v="14"/>
    <x v="2"/>
    <x v="7"/>
    <x v="187"/>
    <x v="7"/>
    <x v="2"/>
    <n v="12.5"/>
    <n v="0"/>
    <x v="4"/>
    <s v="DOMINIO"/>
    <x v="0"/>
    <m/>
    <m/>
    <n v="350"/>
    <n v="350"/>
    <n v="393.75"/>
  </r>
  <r>
    <x v="14"/>
    <x v="2"/>
    <x v="7"/>
    <x v="188"/>
    <x v="7"/>
    <x v="2"/>
    <n v="12.5"/>
    <n v="0"/>
    <x v="4"/>
    <s v="DOMINIO"/>
    <x v="0"/>
    <m/>
    <m/>
    <n v="350"/>
    <n v="350"/>
    <n v="393.75"/>
  </r>
  <r>
    <x v="14"/>
    <x v="2"/>
    <x v="7"/>
    <x v="192"/>
    <x v="7"/>
    <x v="2"/>
    <n v="12.5"/>
    <n v="0"/>
    <x v="4"/>
    <s v="DOMINIO"/>
    <x v="0"/>
    <m/>
    <m/>
    <n v="350"/>
    <n v="350"/>
    <n v="393.75"/>
  </r>
  <r>
    <x v="14"/>
    <x v="2"/>
    <x v="7"/>
    <x v="193"/>
    <x v="7"/>
    <x v="2"/>
    <n v="12.5"/>
    <n v="0"/>
    <x v="4"/>
    <s v="DOMINIO"/>
    <x v="0"/>
    <m/>
    <m/>
    <n v="350"/>
    <n v="350"/>
    <n v="393.75"/>
  </r>
  <r>
    <x v="14"/>
    <x v="2"/>
    <x v="7"/>
    <x v="194"/>
    <x v="7"/>
    <x v="2"/>
    <n v="12.5"/>
    <n v="0"/>
    <x v="4"/>
    <s v="DOMINIO"/>
    <x v="0"/>
    <m/>
    <m/>
    <n v="350"/>
    <n v="350"/>
    <n v="393.75"/>
  </r>
  <r>
    <x v="14"/>
    <x v="2"/>
    <x v="7"/>
    <x v="7"/>
    <x v="7"/>
    <x v="2"/>
    <n v="12.5"/>
    <n v="0"/>
    <x v="4"/>
    <s v="DOMINIO"/>
    <x v="0"/>
    <s v="E - 104 B"/>
    <m/>
    <n v="225"/>
    <n v="225"/>
    <n v="253.125"/>
  </r>
  <r>
    <x v="14"/>
    <x v="2"/>
    <x v="7"/>
    <x v="195"/>
    <x v="7"/>
    <x v="2"/>
    <n v="12.5"/>
    <n v="0"/>
    <x v="4"/>
    <s v="DOMINIO"/>
    <x v="0"/>
    <s v="E - 104 B"/>
    <m/>
    <n v="225"/>
    <n v="225"/>
    <n v="253.125"/>
  </r>
  <r>
    <x v="14"/>
    <x v="2"/>
    <x v="7"/>
    <x v="197"/>
    <x v="7"/>
    <x v="2"/>
    <n v="12.5"/>
    <n v="0"/>
    <x v="4"/>
    <s v="DOMINIO"/>
    <x v="0"/>
    <m/>
    <m/>
    <n v="350"/>
    <n v="350"/>
    <n v="393.75"/>
  </r>
  <r>
    <x v="14"/>
    <x v="2"/>
    <x v="7"/>
    <x v="198"/>
    <x v="7"/>
    <x v="2"/>
    <n v="12.5"/>
    <n v="0"/>
    <x v="4"/>
    <s v="DOMINIO"/>
    <x v="0"/>
    <m/>
    <m/>
    <n v="350"/>
    <n v="350"/>
    <n v="393.75"/>
  </r>
  <r>
    <x v="14"/>
    <x v="2"/>
    <x v="7"/>
    <x v="199"/>
    <x v="7"/>
    <x v="2"/>
    <n v="12.5"/>
    <n v="0"/>
    <x v="4"/>
    <s v="DOMINIO"/>
    <x v="0"/>
    <m/>
    <m/>
    <n v="350"/>
    <n v="350"/>
    <n v="393.75"/>
  </r>
  <r>
    <x v="14"/>
    <x v="2"/>
    <x v="7"/>
    <x v="200"/>
    <x v="7"/>
    <x v="2"/>
    <n v="12.5"/>
    <n v="0"/>
    <x v="4"/>
    <s v="DOMINIO"/>
    <x v="0"/>
    <m/>
    <m/>
    <n v="350"/>
    <n v="350"/>
    <n v="393.75"/>
  </r>
  <r>
    <x v="14"/>
    <x v="2"/>
    <x v="7"/>
    <x v="201"/>
    <x v="7"/>
    <x v="2"/>
    <n v="12.5"/>
    <n v="0"/>
    <x v="4"/>
    <s v="DOMINIO"/>
    <x v="0"/>
    <m/>
    <m/>
    <n v="350"/>
    <n v="350"/>
    <n v="393.75"/>
  </r>
  <r>
    <x v="14"/>
    <x v="2"/>
    <x v="7"/>
    <x v="202"/>
    <x v="7"/>
    <x v="2"/>
    <n v="12.5"/>
    <n v="0"/>
    <x v="4"/>
    <s v="DOMINIO"/>
    <x v="0"/>
    <m/>
    <m/>
    <n v="350"/>
    <n v="350"/>
    <n v="393.75"/>
  </r>
  <r>
    <x v="14"/>
    <x v="2"/>
    <x v="7"/>
    <x v="203"/>
    <x v="7"/>
    <x v="2"/>
    <n v="12.5"/>
    <n v="0"/>
    <x v="4"/>
    <s v="DOMINIO"/>
    <x v="0"/>
    <m/>
    <m/>
    <n v="350"/>
    <n v="350"/>
    <n v="393.75"/>
  </r>
  <r>
    <x v="14"/>
    <x v="2"/>
    <x v="7"/>
    <x v="204"/>
    <x v="7"/>
    <x v="2"/>
    <n v="12.5"/>
    <n v="0"/>
    <x v="4"/>
    <s v="DOMINIO"/>
    <x v="0"/>
    <s v="E - 114 B"/>
    <m/>
    <n v="225"/>
    <n v="225"/>
    <n v="253.125"/>
  </r>
  <r>
    <x v="14"/>
    <x v="2"/>
    <x v="7"/>
    <x v="205"/>
    <x v="7"/>
    <x v="2"/>
    <n v="12.5"/>
    <n v="0"/>
    <x v="4"/>
    <s v="DOMINIO"/>
    <x v="0"/>
    <s v="E - 113 B"/>
    <m/>
    <n v="225"/>
    <n v="225"/>
    <n v="253.125"/>
  </r>
  <r>
    <x v="14"/>
    <x v="2"/>
    <x v="7"/>
    <x v="206"/>
    <x v="7"/>
    <x v="2"/>
    <n v="12.5"/>
    <n v="0"/>
    <x v="4"/>
    <s v="DOMINIO"/>
    <x v="0"/>
    <s v="E - 116 B"/>
    <m/>
    <n v="225"/>
    <n v="225"/>
    <n v="253.125"/>
  </r>
  <r>
    <x v="14"/>
    <x v="2"/>
    <x v="7"/>
    <x v="207"/>
    <x v="7"/>
    <x v="2"/>
    <n v="12.5"/>
    <n v="0"/>
    <x v="4"/>
    <s v="DOMINIO"/>
    <x v="0"/>
    <s v="E - 115 B"/>
    <m/>
    <n v="225"/>
    <n v="225"/>
    <n v="253.125"/>
  </r>
  <r>
    <x v="15"/>
    <x v="0"/>
    <x v="3"/>
    <x v="199"/>
    <x v="6"/>
    <x v="2"/>
    <n v="36.869999999999997"/>
    <n v="2.2400000000000002"/>
    <x v="8"/>
    <s v="DOMINIO"/>
    <x v="0"/>
    <m/>
    <m/>
    <n v="2682"/>
    <n v="2413.8000000000002"/>
    <n v="2715.5250000000001"/>
  </r>
  <r>
    <x v="15"/>
    <x v="0"/>
    <x v="3"/>
    <x v="202"/>
    <x v="6"/>
    <x v="2"/>
    <n v="36.94"/>
    <n v="2.2400000000000002"/>
    <x v="6"/>
    <s v="DOMINIO"/>
    <x v="0"/>
    <m/>
    <m/>
    <n v="2625"/>
    <n v="2362.5"/>
    <n v="2657.8125"/>
  </r>
  <r>
    <x v="15"/>
    <x v="0"/>
    <x v="3"/>
    <x v="209"/>
    <x v="6"/>
    <x v="0"/>
    <n v="36.94"/>
    <n v="2.2400000000000002"/>
    <x v="6"/>
    <s v="DOMINIO"/>
    <x v="0"/>
    <m/>
    <m/>
    <n v="2625"/>
    <n v="2362.5"/>
    <n v="2657.8125"/>
  </r>
  <r>
    <x v="15"/>
    <x v="0"/>
    <x v="3"/>
    <x v="370"/>
    <x v="3"/>
    <x v="2"/>
    <n v="36.94"/>
    <n v="2.2400000000000002"/>
    <x v="6"/>
    <s v="DOMINIO"/>
    <x v="0"/>
    <m/>
    <m/>
    <n v="2682"/>
    <n v="2413.8000000000002"/>
    <n v="2715.5250000000001"/>
  </r>
  <r>
    <x v="15"/>
    <x v="0"/>
    <x v="3"/>
    <x v="294"/>
    <x v="3"/>
    <x v="0"/>
    <n v="36.94"/>
    <n v="2.2400000000000002"/>
    <x v="5"/>
    <s v="DOMINIO"/>
    <x v="0"/>
    <m/>
    <m/>
    <n v="2762"/>
    <n v="2485.8000000000002"/>
    <n v="2796.5250000000001"/>
  </r>
  <r>
    <x v="15"/>
    <x v="0"/>
    <x v="3"/>
    <x v="296"/>
    <x v="3"/>
    <x v="0"/>
    <n v="36.94"/>
    <n v="2.2400000000000002"/>
    <x v="6"/>
    <s v="DOMINIO"/>
    <x v="1"/>
    <m/>
    <m/>
    <n v="2682"/>
    <n v="2413.8000000000002"/>
    <n v="2715.5250000000001"/>
  </r>
  <r>
    <x v="15"/>
    <x v="0"/>
    <x v="3"/>
    <x v="301"/>
    <x v="0"/>
    <x v="0"/>
    <n v="36.94"/>
    <n v="2.2400000000000002"/>
    <x v="5"/>
    <s v="DOMINIO"/>
    <x v="1"/>
    <m/>
    <m/>
    <n v="2774"/>
    <n v="2496.6"/>
    <n v="2808.6749999999997"/>
  </r>
  <r>
    <x v="15"/>
    <x v="0"/>
    <x v="3"/>
    <x v="305"/>
    <x v="4"/>
    <x v="2"/>
    <n v="36.94"/>
    <n v="2.2400000000000002"/>
    <x v="8"/>
    <s v="DOMINIO"/>
    <x v="0"/>
    <m/>
    <m/>
    <n v="2762"/>
    <n v="2485.8000000000002"/>
    <n v="2796.5250000000001"/>
  </r>
  <r>
    <x v="15"/>
    <x v="0"/>
    <x v="3"/>
    <x v="307"/>
    <x v="4"/>
    <x v="0"/>
    <n v="36.94"/>
    <n v="2.2400000000000002"/>
    <x v="5"/>
    <s v="DOMINIO"/>
    <x v="1"/>
    <m/>
    <m/>
    <n v="2785"/>
    <n v="2506.5"/>
    <n v="2819.8124999999995"/>
  </r>
  <r>
    <x v="15"/>
    <x v="0"/>
    <x v="3"/>
    <x v="9"/>
    <x v="4"/>
    <x v="2"/>
    <n v="36.94"/>
    <n v="2.2400000000000002"/>
    <x v="6"/>
    <s v="DOMINIO"/>
    <x v="1"/>
    <m/>
    <m/>
    <n v="2705"/>
    <n v="2434.5"/>
    <n v="2738.8125"/>
  </r>
  <r>
    <x v="15"/>
    <x v="0"/>
    <x v="3"/>
    <x v="311"/>
    <x v="7"/>
    <x v="0"/>
    <n v="36.94"/>
    <n v="2.2400000000000002"/>
    <x v="8"/>
    <s v="DOMINIO"/>
    <x v="0"/>
    <m/>
    <m/>
    <n v="2774"/>
    <n v="2496.6"/>
    <n v="2808.6749999999997"/>
  </r>
  <r>
    <x v="15"/>
    <x v="0"/>
    <x v="3"/>
    <x v="531"/>
    <x v="7"/>
    <x v="2"/>
    <n v="36.94"/>
    <n v="2.2400000000000002"/>
    <x v="8"/>
    <s v="DOMINIO"/>
    <x v="0"/>
    <m/>
    <m/>
    <n v="2774"/>
    <n v="2496.6"/>
    <n v="2808.6749999999997"/>
  </r>
  <r>
    <x v="15"/>
    <x v="0"/>
    <x v="3"/>
    <x v="313"/>
    <x v="7"/>
    <x v="2"/>
    <n v="36.94"/>
    <n v="2.2400000000000002"/>
    <x v="8"/>
    <s v="DOMINIO"/>
    <x v="0"/>
    <m/>
    <m/>
    <n v="2774"/>
    <n v="2496.6"/>
    <n v="2808.6749999999997"/>
  </r>
  <r>
    <x v="15"/>
    <x v="0"/>
    <x v="3"/>
    <x v="11"/>
    <x v="7"/>
    <x v="0"/>
    <n v="36.94"/>
    <n v="2.2400000000000002"/>
    <x v="5"/>
    <s v="DOMINIO"/>
    <x v="1"/>
    <m/>
    <m/>
    <n v="2797"/>
    <n v="2517.3000000000002"/>
    <n v="2831.9625000000001"/>
  </r>
  <r>
    <x v="15"/>
    <x v="0"/>
    <x v="3"/>
    <x v="389"/>
    <x v="7"/>
    <x v="2"/>
    <n v="36.94"/>
    <n v="2.2400000000000002"/>
    <x v="5"/>
    <s v="DOMINIO"/>
    <x v="0"/>
    <m/>
    <m/>
    <n v="2797"/>
    <n v="2517.3000000000002"/>
    <n v="2831.9625000000001"/>
  </r>
  <r>
    <x v="15"/>
    <x v="0"/>
    <x v="3"/>
    <x v="319"/>
    <x v="8"/>
    <x v="0"/>
    <n v="36.94"/>
    <n v="2.2400000000000002"/>
    <x v="8"/>
    <s v="DOMINIO"/>
    <x v="0"/>
    <m/>
    <m/>
    <n v="2785"/>
    <n v="2506.5"/>
    <n v="2819.8124999999995"/>
  </r>
  <r>
    <x v="15"/>
    <x v="0"/>
    <x v="3"/>
    <x v="321"/>
    <x v="8"/>
    <x v="2"/>
    <n v="36.94"/>
    <n v="2.2400000000000002"/>
    <x v="8"/>
    <s v="DOMINIO"/>
    <x v="1"/>
    <m/>
    <m/>
    <n v="2785"/>
    <n v="2506.5"/>
    <n v="2819.8124999999995"/>
  </r>
  <r>
    <x v="15"/>
    <x v="0"/>
    <x v="3"/>
    <x v="390"/>
    <x v="8"/>
    <x v="2"/>
    <n v="36.94"/>
    <n v="2.2400000000000002"/>
    <x v="5"/>
    <s v="DOMINIO"/>
    <x v="0"/>
    <m/>
    <m/>
    <n v="2808"/>
    <n v="2527.2000000000003"/>
    <n v="2843.1000000000004"/>
  </r>
  <r>
    <x v="15"/>
    <x v="0"/>
    <x v="3"/>
    <x v="325"/>
    <x v="8"/>
    <x v="0"/>
    <n v="36.94"/>
    <n v="2.2400000000000002"/>
    <x v="6"/>
    <s v="DOMINIO"/>
    <x v="0"/>
    <m/>
    <m/>
    <n v="2728"/>
    <n v="2455.2000000000003"/>
    <n v="2762.1000000000004"/>
  </r>
  <r>
    <x v="15"/>
    <x v="0"/>
    <x v="3"/>
    <x v="327"/>
    <x v="9"/>
    <x v="0"/>
    <n v="36.94"/>
    <n v="2.2400000000000002"/>
    <x v="8"/>
    <s v="DOMINIO"/>
    <x v="0"/>
    <m/>
    <m/>
    <n v="2797"/>
    <n v="2517.3000000000002"/>
    <n v="2831.9625000000001"/>
  </r>
  <r>
    <x v="15"/>
    <x v="0"/>
    <x v="3"/>
    <x v="363"/>
    <x v="9"/>
    <x v="0"/>
    <n v="36.94"/>
    <n v="2.2400000000000002"/>
    <x v="6"/>
    <s v="DOMINIO"/>
    <x v="0"/>
    <m/>
    <m/>
    <n v="2739"/>
    <n v="2465.1"/>
    <n v="2773.2375000000002"/>
  </r>
  <r>
    <x v="15"/>
    <x v="0"/>
    <x v="4"/>
    <x v="193"/>
    <x v="6"/>
    <x v="0"/>
    <n v="42.87"/>
    <n v="2.2400000000000002"/>
    <x v="8"/>
    <s v="DOMINIO"/>
    <x v="0"/>
    <m/>
    <m/>
    <n v="2961"/>
    <n v="2664.9"/>
    <n v="2998.0124999999998"/>
  </r>
  <r>
    <x v="15"/>
    <x v="0"/>
    <x v="4"/>
    <x v="197"/>
    <x v="6"/>
    <x v="2"/>
    <n v="42.87"/>
    <n v="2.2400000000000002"/>
    <x v="8"/>
    <s v="DOMINIO"/>
    <x v="0"/>
    <m/>
    <m/>
    <n v="2961"/>
    <n v="2664.9"/>
    <n v="2998.0124999999998"/>
  </r>
  <r>
    <x v="15"/>
    <x v="0"/>
    <x v="4"/>
    <x v="200"/>
    <x v="6"/>
    <x v="2"/>
    <n v="42.87"/>
    <n v="2.2400000000000002"/>
    <x v="8"/>
    <s v="DOMINIO"/>
    <x v="0"/>
    <m/>
    <m/>
    <n v="2961"/>
    <n v="2664.9"/>
    <n v="2998.0124999999998"/>
  </r>
  <r>
    <x v="15"/>
    <x v="0"/>
    <x v="4"/>
    <x v="208"/>
    <x v="6"/>
    <x v="0"/>
    <n v="42.87"/>
    <n v="2.2400000000000002"/>
    <x v="6"/>
    <s v="DOMINIO"/>
    <x v="0"/>
    <m/>
    <m/>
    <n v="2904"/>
    <n v="2613.6"/>
    <n v="2940.2999999999997"/>
  </r>
  <r>
    <x v="15"/>
    <x v="0"/>
    <x v="4"/>
    <x v="209"/>
    <x v="6"/>
    <x v="2"/>
    <n v="42.87"/>
    <n v="2.2400000000000002"/>
    <x v="5"/>
    <s v="DOMINIO"/>
    <x v="0"/>
    <m/>
    <m/>
    <n v="2984"/>
    <n v="2685.6"/>
    <n v="3021.2999999999997"/>
  </r>
  <r>
    <x v="15"/>
    <x v="0"/>
    <x v="4"/>
    <x v="210"/>
    <x v="6"/>
    <x v="2"/>
    <n v="42.87"/>
    <n v="2.2400000000000002"/>
    <x v="5"/>
    <s v="DOMINIO"/>
    <x v="0"/>
    <m/>
    <m/>
    <n v="2984"/>
    <n v="2685.6"/>
    <n v="3021.2999999999997"/>
  </r>
  <r>
    <x v="15"/>
    <x v="0"/>
    <x v="4"/>
    <x v="277"/>
    <x v="3"/>
    <x v="0"/>
    <n v="42.87"/>
    <n v="2.2400000000000002"/>
    <x v="8"/>
    <s v="DOMINIO"/>
    <x v="1"/>
    <m/>
    <m/>
    <n v="3018"/>
    <n v="2716.2000000000003"/>
    <n v="3055.7250000000004"/>
  </r>
  <r>
    <x v="15"/>
    <x v="0"/>
    <x v="4"/>
    <x v="369"/>
    <x v="3"/>
    <x v="0"/>
    <n v="42.87"/>
    <n v="2.2400000000000002"/>
    <x v="8"/>
    <s v="DOMINIO"/>
    <x v="1"/>
    <m/>
    <m/>
    <n v="3018"/>
    <n v="2716.2000000000003"/>
    <n v="3055.7250000000004"/>
  </r>
  <r>
    <x v="15"/>
    <x v="0"/>
    <x v="4"/>
    <x v="439"/>
    <x v="3"/>
    <x v="2"/>
    <n v="42.87"/>
    <n v="2.2400000000000002"/>
    <x v="8"/>
    <s v="DOMINIO"/>
    <x v="0"/>
    <m/>
    <m/>
    <n v="3018"/>
    <n v="2716.2000000000003"/>
    <n v="3055.7250000000004"/>
  </r>
  <r>
    <x v="15"/>
    <x v="0"/>
    <x v="4"/>
    <x v="388"/>
    <x v="3"/>
    <x v="0"/>
    <n v="42.87"/>
    <n v="2.2400000000000002"/>
    <x v="7"/>
    <s v="DOMINIO"/>
    <x v="1"/>
    <m/>
    <m/>
    <n v="2995"/>
    <n v="2695.5"/>
    <n v="3032.4374999999995"/>
  </r>
  <r>
    <x v="15"/>
    <x v="0"/>
    <x v="4"/>
    <x v="291"/>
    <x v="3"/>
    <x v="0"/>
    <n v="42.87"/>
    <n v="2.2400000000000002"/>
    <x v="7"/>
    <s v="DOMINIO"/>
    <x v="1"/>
    <m/>
    <m/>
    <n v="2995"/>
    <n v="2695.5"/>
    <n v="3032.4374999999995"/>
  </r>
  <r>
    <x v="15"/>
    <x v="0"/>
    <x v="4"/>
    <x v="351"/>
    <x v="3"/>
    <x v="2"/>
    <n v="42.87"/>
    <n v="2.2400000000000002"/>
    <x v="8"/>
    <s v="DOMINIO"/>
    <x v="0"/>
    <m/>
    <m/>
    <n v="3018"/>
    <n v="2716.2000000000003"/>
    <n v="3055.7250000000004"/>
  </r>
  <r>
    <x v="15"/>
    <x v="0"/>
    <x v="4"/>
    <x v="73"/>
    <x v="0"/>
    <x v="0"/>
    <n v="42.87"/>
    <n v="2.2400000000000002"/>
    <x v="8"/>
    <s v="DOMINIO"/>
    <x v="0"/>
    <m/>
    <m/>
    <n v="3030"/>
    <n v="2727"/>
    <n v="3067.875"/>
  </r>
  <r>
    <x v="15"/>
    <x v="0"/>
    <x v="4"/>
    <x v="402"/>
    <x v="0"/>
    <x v="0"/>
    <n v="42.87"/>
    <n v="2.2400000000000002"/>
    <x v="5"/>
    <s v="DOMINIO"/>
    <x v="1"/>
    <m/>
    <m/>
    <n v="3053"/>
    <n v="2747.7000000000003"/>
    <n v="3091.1625000000004"/>
  </r>
  <r>
    <x v="15"/>
    <x v="0"/>
    <x v="4"/>
    <x v="374"/>
    <x v="4"/>
    <x v="0"/>
    <n v="42.87"/>
    <n v="2.2400000000000002"/>
    <x v="8"/>
    <s v="DOMINIO"/>
    <x v="0"/>
    <m/>
    <m/>
    <n v="3041"/>
    <n v="2736.9"/>
    <n v="3079.0124999999998"/>
  </r>
  <r>
    <x v="15"/>
    <x v="0"/>
    <x v="4"/>
    <x v="305"/>
    <x v="4"/>
    <x v="0"/>
    <n v="42.87"/>
    <n v="2.2400000000000002"/>
    <x v="7"/>
    <s v="DOMINIO"/>
    <x v="0"/>
    <m/>
    <m/>
    <n v="3018"/>
    <n v="2716.2000000000003"/>
    <n v="3055.7250000000004"/>
  </r>
  <r>
    <x v="15"/>
    <x v="0"/>
    <x v="4"/>
    <x v="307"/>
    <x v="4"/>
    <x v="2"/>
    <n v="42.87"/>
    <n v="2.2400000000000002"/>
    <x v="6"/>
    <s v="DOMINIO"/>
    <x v="0"/>
    <m/>
    <m/>
    <n v="2984"/>
    <n v="2685.6"/>
    <n v="3021.2999999999997"/>
  </r>
  <r>
    <x v="15"/>
    <x v="0"/>
    <x v="4"/>
    <x v="9"/>
    <x v="4"/>
    <x v="0"/>
    <n v="42.87"/>
    <n v="2.2400000000000002"/>
    <x v="5"/>
    <s v="DOMINIO"/>
    <x v="0"/>
    <m/>
    <m/>
    <n v="3064"/>
    <n v="2757.6"/>
    <n v="3102.3"/>
  </r>
  <r>
    <x v="15"/>
    <x v="0"/>
    <x v="4"/>
    <x v="376"/>
    <x v="7"/>
    <x v="0"/>
    <n v="42.87"/>
    <n v="2.2400000000000002"/>
    <x v="8"/>
    <s v="DOMINIO"/>
    <x v="0"/>
    <m/>
    <m/>
    <n v="3053"/>
    <n v="2747.7000000000003"/>
    <n v="3091.1625000000004"/>
  </r>
  <r>
    <x v="15"/>
    <x v="0"/>
    <x v="4"/>
    <x v="10"/>
    <x v="7"/>
    <x v="2"/>
    <n v="42.87"/>
    <n v="2.2400000000000002"/>
    <x v="8"/>
    <s v="DOMINIO"/>
    <x v="1"/>
    <m/>
    <m/>
    <n v="3053"/>
    <n v="2747.7000000000003"/>
    <n v="3091.1625000000004"/>
  </r>
  <r>
    <x v="15"/>
    <x v="0"/>
    <x v="4"/>
    <x v="378"/>
    <x v="7"/>
    <x v="0"/>
    <n v="42.87"/>
    <n v="2.2400000000000002"/>
    <x v="5"/>
    <s v="DOMINIO"/>
    <x v="0"/>
    <m/>
    <m/>
    <n v="3075"/>
    <n v="2767.5"/>
    <n v="3113.4375"/>
  </r>
  <r>
    <x v="15"/>
    <x v="0"/>
    <x v="4"/>
    <x v="323"/>
    <x v="8"/>
    <x v="2"/>
    <n v="42.87"/>
    <n v="2.2400000000000002"/>
    <x v="6"/>
    <s v="DOMINIO"/>
    <x v="1"/>
    <m/>
    <m/>
    <n v="3007"/>
    <n v="2706.3"/>
    <n v="3044.5875000000001"/>
  </r>
  <r>
    <x v="15"/>
    <x v="0"/>
    <x v="4"/>
    <x v="13"/>
    <x v="8"/>
    <x v="2"/>
    <n v="42.87"/>
    <n v="2.2400000000000002"/>
    <x v="6"/>
    <s v="DOMINIO"/>
    <x v="1"/>
    <m/>
    <m/>
    <n v="3007"/>
    <n v="2706.3"/>
    <n v="3044.5875000000001"/>
  </r>
  <r>
    <x v="15"/>
    <x v="0"/>
    <x v="4"/>
    <x v="75"/>
    <x v="9"/>
    <x v="0"/>
    <n v="42.87"/>
    <n v="2.2400000000000002"/>
    <x v="8"/>
    <s v="DOMINIO"/>
    <x v="0"/>
    <m/>
    <m/>
    <n v="3075"/>
    <n v="2767.5"/>
    <n v="3113.4375"/>
  </r>
  <r>
    <x v="15"/>
    <x v="0"/>
    <x v="4"/>
    <x v="391"/>
    <x v="9"/>
    <x v="0"/>
    <n v="42.87"/>
    <n v="2.2400000000000002"/>
    <x v="7"/>
    <s v="DOMINIO"/>
    <x v="1"/>
    <m/>
    <m/>
    <n v="3053"/>
    <n v="2747.7000000000003"/>
    <n v="3091.1625000000004"/>
  </r>
  <r>
    <x v="15"/>
    <x v="0"/>
    <x v="4"/>
    <x v="16"/>
    <x v="9"/>
    <x v="2"/>
    <n v="42.87"/>
    <n v="2.2400000000000002"/>
    <x v="6"/>
    <s v="DOMINIO"/>
    <x v="1"/>
    <m/>
    <m/>
    <n v="3018"/>
    <n v="2716.2000000000003"/>
    <n v="3055.7250000000004"/>
  </r>
  <r>
    <x v="15"/>
    <x v="0"/>
    <x v="5"/>
    <x v="196"/>
    <x v="6"/>
    <x v="2"/>
    <n v="46.66"/>
    <n v="2.2400000000000002"/>
    <x v="8"/>
    <s v="DOMINIO"/>
    <x v="0"/>
    <m/>
    <m/>
    <n v="3138"/>
    <n v="2761.44"/>
    <n v="3106.6200000000003"/>
  </r>
  <r>
    <x v="15"/>
    <x v="0"/>
    <x v="5"/>
    <x v="207"/>
    <x v="6"/>
    <x v="2"/>
    <n v="46.66"/>
    <n v="2.2400000000000002"/>
    <x v="5"/>
    <s v="DOMINIO"/>
    <x v="0"/>
    <m/>
    <m/>
    <n v="3161"/>
    <n v="2781.68"/>
    <n v="3129.3899999999994"/>
  </r>
  <r>
    <x v="15"/>
    <x v="0"/>
    <x v="5"/>
    <x v="236"/>
    <x v="3"/>
    <x v="0"/>
    <n v="46.66"/>
    <n v="2.2400000000000002"/>
    <x v="7"/>
    <s v="DOMINIO"/>
    <x v="0"/>
    <m/>
    <m/>
    <n v="3173"/>
    <n v="2792.2400000000002"/>
    <n v="3141.27"/>
  </r>
  <r>
    <x v="15"/>
    <x v="0"/>
    <x v="5"/>
    <x v="292"/>
    <x v="3"/>
    <x v="2"/>
    <n v="46.81"/>
    <n v="2.2400000000000002"/>
    <x v="6"/>
    <s v="DOMINIO"/>
    <x v="0"/>
    <m/>
    <m/>
    <n v="3138"/>
    <n v="2761.44"/>
    <n v="3106.6200000000003"/>
  </r>
  <r>
    <x v="15"/>
    <x v="0"/>
    <x v="5"/>
    <x v="292"/>
    <x v="3"/>
    <x v="0"/>
    <n v="46.81"/>
    <n v="2.2400000000000002"/>
    <x v="7"/>
    <s v="DOMINIO"/>
    <x v="0"/>
    <m/>
    <m/>
    <n v="3173"/>
    <n v="2792.2400000000002"/>
    <n v="3141.27"/>
  </r>
  <r>
    <x v="15"/>
    <x v="0"/>
    <x v="5"/>
    <x v="295"/>
    <x v="3"/>
    <x v="2"/>
    <n v="46.66"/>
    <n v="2.2400000000000002"/>
    <x v="6"/>
    <s v="DOMINIO"/>
    <x v="0"/>
    <m/>
    <m/>
    <n v="3138"/>
    <n v="2761.44"/>
    <n v="3106.6200000000003"/>
  </r>
  <r>
    <x v="15"/>
    <x v="0"/>
    <x v="5"/>
    <x v="295"/>
    <x v="3"/>
    <x v="0"/>
    <n v="46.66"/>
    <n v="2.2400000000000002"/>
    <x v="5"/>
    <s v="DOMINIO"/>
    <x v="0"/>
    <m/>
    <m/>
    <n v="3218"/>
    <n v="2831.84"/>
    <n v="3185.8199999999997"/>
  </r>
  <r>
    <x v="15"/>
    <x v="0"/>
    <x v="5"/>
    <x v="352"/>
    <x v="3"/>
    <x v="2"/>
    <n v="46.66"/>
    <n v="2.2400000000000002"/>
    <x v="5"/>
    <s v="DOMINIO"/>
    <x v="0"/>
    <m/>
    <m/>
    <n v="3218"/>
    <n v="2831.84"/>
    <n v="3185.8199999999997"/>
  </r>
  <r>
    <x v="15"/>
    <x v="0"/>
    <x v="5"/>
    <x v="298"/>
    <x v="0"/>
    <x v="2"/>
    <n v="46.66"/>
    <n v="2.2400000000000002"/>
    <x v="7"/>
    <s v="DOMINIO"/>
    <x v="1"/>
    <m/>
    <m/>
    <n v="3184"/>
    <n v="2801.92"/>
    <n v="3152.16"/>
  </r>
  <r>
    <x v="15"/>
    <x v="0"/>
    <x v="5"/>
    <x v="372"/>
    <x v="0"/>
    <x v="0"/>
    <n v="46.66"/>
    <n v="2.2400000000000002"/>
    <x v="7"/>
    <s v="DOMINIO"/>
    <x v="2"/>
    <m/>
    <s v="Assetplan"/>
    <n v="3184"/>
    <n v="2801.92"/>
    <n v="3152.16"/>
  </r>
  <r>
    <x v="15"/>
    <x v="0"/>
    <x v="5"/>
    <x v="372"/>
    <x v="0"/>
    <x v="2"/>
    <n v="46.66"/>
    <n v="2.2400000000000002"/>
    <x v="8"/>
    <s v="DOMINIO"/>
    <x v="2"/>
    <m/>
    <s v="Assetplan con Est. 75"/>
    <n v="3207"/>
    <n v="2822.16"/>
    <n v="3174.93"/>
  </r>
  <r>
    <x v="15"/>
    <x v="0"/>
    <x v="5"/>
    <x v="300"/>
    <x v="0"/>
    <x v="2"/>
    <n v="46.81"/>
    <n v="2.2400000000000002"/>
    <x v="6"/>
    <s v="DOMINIO"/>
    <x v="2"/>
    <m/>
    <s v="Assetplan con Est. 76"/>
    <n v="3150"/>
    <n v="2772"/>
    <n v="3118.5"/>
  </r>
  <r>
    <x v="15"/>
    <x v="0"/>
    <x v="5"/>
    <x v="302"/>
    <x v="0"/>
    <x v="2"/>
    <n v="46.66"/>
    <n v="2.2400000000000002"/>
    <x v="6"/>
    <s v="DOMINIO"/>
    <x v="2"/>
    <m/>
    <s v="Assetplan con Est. 78"/>
    <n v="3150"/>
    <n v="2772"/>
    <n v="3118.5"/>
  </r>
  <r>
    <x v="15"/>
    <x v="0"/>
    <x v="5"/>
    <x v="302"/>
    <x v="0"/>
    <x v="0"/>
    <n v="46.66"/>
    <n v="2.2400000000000002"/>
    <x v="5"/>
    <s v="DOMINIO"/>
    <x v="2"/>
    <m/>
    <s v="Assetplan"/>
    <n v="3230"/>
    <n v="2842.4"/>
    <n v="3197.7"/>
  </r>
  <r>
    <x v="15"/>
    <x v="0"/>
    <x v="5"/>
    <x v="355"/>
    <x v="0"/>
    <x v="2"/>
    <n v="46.66"/>
    <n v="2.2400000000000002"/>
    <x v="5"/>
    <s v="DOMINIO"/>
    <x v="2"/>
    <m/>
    <s v="Assetplan con Est. 95"/>
    <n v="3230"/>
    <n v="2842.4"/>
    <n v="3197.7"/>
  </r>
  <r>
    <x v="15"/>
    <x v="0"/>
    <x v="5"/>
    <x v="238"/>
    <x v="4"/>
    <x v="2"/>
    <n v="46.66"/>
    <n v="2.2400000000000002"/>
    <x v="7"/>
    <s v="DOMINIO"/>
    <x v="2"/>
    <m/>
    <s v="Assetplan con Est. 83"/>
    <n v="3195"/>
    <n v="2811.6"/>
    <n v="3163.0499999999997"/>
  </r>
  <r>
    <x v="15"/>
    <x v="0"/>
    <x v="5"/>
    <x v="8"/>
    <x v="4"/>
    <x v="0"/>
    <n v="46.66"/>
    <n v="2.2400000000000002"/>
    <x v="7"/>
    <s v="DOMINIO"/>
    <x v="2"/>
    <m/>
    <s v="Assetplan"/>
    <n v="3195"/>
    <n v="2811.6"/>
    <n v="3163.0499999999997"/>
  </r>
  <r>
    <x v="15"/>
    <x v="0"/>
    <x v="5"/>
    <x v="8"/>
    <x v="4"/>
    <x v="2"/>
    <n v="46.66"/>
    <n v="2.2400000000000002"/>
    <x v="8"/>
    <s v="DOMINIO"/>
    <x v="2"/>
    <m/>
    <s v="Assetplan - Asociado Est 99"/>
    <n v="3218"/>
    <n v="2831.84"/>
    <n v="3185.8199999999997"/>
  </r>
  <r>
    <x v="15"/>
    <x v="0"/>
    <x v="5"/>
    <x v="306"/>
    <x v="4"/>
    <x v="0"/>
    <n v="46.81"/>
    <n v="2.2400000000000002"/>
    <x v="7"/>
    <s v="DOMINIO"/>
    <x v="2"/>
    <m/>
    <s v="Assetplan"/>
    <n v="3195"/>
    <n v="2811.6"/>
    <n v="3163.0499999999997"/>
  </r>
  <r>
    <x v="15"/>
    <x v="0"/>
    <x v="5"/>
    <x v="309"/>
    <x v="4"/>
    <x v="2"/>
    <n v="46.66"/>
    <n v="2.2400000000000002"/>
    <x v="6"/>
    <s v="DOMINIO"/>
    <x v="1"/>
    <m/>
    <m/>
    <n v="3161"/>
    <n v="2781.68"/>
    <n v="3129.3899999999994"/>
  </r>
  <r>
    <x v="15"/>
    <x v="0"/>
    <x v="5"/>
    <x v="358"/>
    <x v="4"/>
    <x v="0"/>
    <n v="46.66"/>
    <n v="2.2400000000000002"/>
    <x v="6"/>
    <s v="DOMINIO"/>
    <x v="2"/>
    <m/>
    <s v="Assetplan"/>
    <n v="3161"/>
    <n v="2781.68"/>
    <n v="3129.3899999999994"/>
  </r>
  <r>
    <x v="15"/>
    <x v="0"/>
    <x v="5"/>
    <x v="358"/>
    <x v="4"/>
    <x v="2"/>
    <n v="46.66"/>
    <n v="2.2400000000000002"/>
    <x v="5"/>
    <s v="DOMINIO"/>
    <x v="2"/>
    <m/>
    <s v="Assetplan"/>
    <n v="3241"/>
    <n v="2852.08"/>
    <n v="3208.5899999999997"/>
  </r>
  <r>
    <x v="15"/>
    <x v="0"/>
    <x v="5"/>
    <x v="312"/>
    <x v="7"/>
    <x v="0"/>
    <n v="46.66"/>
    <n v="2.2400000000000002"/>
    <x v="8"/>
    <s v="DOMINIO"/>
    <x v="2"/>
    <m/>
    <s v="Assetplan con Est. 55"/>
    <n v="3230"/>
    <n v="2842.4"/>
    <n v="3197.7"/>
  </r>
  <r>
    <x v="15"/>
    <x v="0"/>
    <x v="5"/>
    <x v="314"/>
    <x v="7"/>
    <x v="2"/>
    <n v="46.81"/>
    <n v="2.2400000000000002"/>
    <x v="6"/>
    <s v="DOMINIO"/>
    <x v="1"/>
    <m/>
    <m/>
    <n v="3173"/>
    <n v="2792.2400000000002"/>
    <n v="3141.27"/>
  </r>
  <r>
    <x v="15"/>
    <x v="0"/>
    <x v="5"/>
    <x v="316"/>
    <x v="7"/>
    <x v="2"/>
    <n v="46.66"/>
    <n v="2.2400000000000002"/>
    <x v="6"/>
    <s v="DOMINIO"/>
    <x v="1"/>
    <m/>
    <m/>
    <n v="3173"/>
    <n v="2792.2400000000002"/>
    <n v="3141.27"/>
  </r>
  <r>
    <x v="15"/>
    <x v="0"/>
    <x v="5"/>
    <x v="316"/>
    <x v="7"/>
    <x v="0"/>
    <n v="46.66"/>
    <n v="2.2400000000000002"/>
    <x v="5"/>
    <s v="DOMINIO"/>
    <x v="1"/>
    <m/>
    <m/>
    <n v="3253"/>
    <n v="2862.64"/>
    <n v="3220.4699999999993"/>
  </r>
  <r>
    <x v="15"/>
    <x v="0"/>
    <x v="5"/>
    <x v="360"/>
    <x v="7"/>
    <x v="0"/>
    <n v="46.66"/>
    <n v="2.2400000000000002"/>
    <x v="6"/>
    <s v="DOMINIO"/>
    <x v="2"/>
    <m/>
    <s v="Assetplan con Est. 57"/>
    <n v="3173"/>
    <n v="2792.2400000000002"/>
    <n v="3141.27"/>
  </r>
  <r>
    <x v="15"/>
    <x v="0"/>
    <x v="5"/>
    <x v="320"/>
    <x v="8"/>
    <x v="2"/>
    <n v="46.66"/>
    <n v="2.2400000000000002"/>
    <x v="7"/>
    <s v="DOMINIO"/>
    <x v="2"/>
    <m/>
    <s v="Assetplan"/>
    <n v="3218"/>
    <n v="2831.84"/>
    <n v="3185.8199999999997"/>
  </r>
  <r>
    <x v="15"/>
    <x v="0"/>
    <x v="5"/>
    <x v="320"/>
    <x v="8"/>
    <x v="0"/>
    <n v="46.66"/>
    <n v="2.2400000000000002"/>
    <x v="8"/>
    <s v="DOMINIO"/>
    <x v="2"/>
    <m/>
    <s v="Assetplan con Est. 73"/>
    <n v="3241"/>
    <n v="2852.08"/>
    <n v="3208.5899999999997"/>
  </r>
  <r>
    <x v="15"/>
    <x v="0"/>
    <x v="5"/>
    <x v="324"/>
    <x v="8"/>
    <x v="2"/>
    <n v="46.66"/>
    <n v="2.2400000000000002"/>
    <x v="6"/>
    <s v="DOMINIO"/>
    <x v="0"/>
    <m/>
    <m/>
    <n v="3184"/>
    <n v="2801.92"/>
    <n v="3152.16"/>
  </r>
  <r>
    <x v="15"/>
    <x v="0"/>
    <x v="5"/>
    <x v="361"/>
    <x v="8"/>
    <x v="0"/>
    <n v="46.66"/>
    <n v="2.2400000000000002"/>
    <x v="6"/>
    <s v="DOMINIO"/>
    <x v="2"/>
    <m/>
    <s v="Assetplan"/>
    <n v="3184"/>
    <n v="2801.92"/>
    <n v="3152.16"/>
  </r>
  <r>
    <x v="15"/>
    <x v="0"/>
    <x v="5"/>
    <x v="328"/>
    <x v="9"/>
    <x v="2"/>
    <n v="46.66"/>
    <n v="2.2400000000000002"/>
    <x v="7"/>
    <s v="DOMINIO"/>
    <x v="1"/>
    <m/>
    <m/>
    <n v="3230"/>
    <n v="2842.4"/>
    <n v="3197.7"/>
  </r>
  <r>
    <x v="15"/>
    <x v="0"/>
    <x v="5"/>
    <x v="14"/>
    <x v="9"/>
    <x v="2"/>
    <n v="46.66"/>
    <n v="2.2400000000000002"/>
    <x v="8"/>
    <s v="DOMINIO"/>
    <x v="2"/>
    <m/>
    <s v="Assetplan"/>
    <n v="3253"/>
    <n v="2862.64"/>
    <n v="3220.4699999999993"/>
  </r>
  <r>
    <x v="15"/>
    <x v="0"/>
    <x v="5"/>
    <x v="330"/>
    <x v="9"/>
    <x v="0"/>
    <n v="46.81"/>
    <n v="2.2400000000000002"/>
    <x v="7"/>
    <s v="DOMINIO"/>
    <x v="0"/>
    <m/>
    <m/>
    <n v="3230"/>
    <n v="2842.4"/>
    <n v="3197.7"/>
  </r>
  <r>
    <x v="15"/>
    <x v="2"/>
    <x v="7"/>
    <x v="106"/>
    <x v="6"/>
    <x v="1"/>
    <n v="12.5"/>
    <n v="0"/>
    <x v="9"/>
    <s v="USO Y GOCE"/>
    <x v="1"/>
    <m/>
    <m/>
    <n v="300"/>
    <n v="264"/>
    <n v="297"/>
  </r>
  <r>
    <x v="15"/>
    <x v="2"/>
    <x v="7"/>
    <x v="273"/>
    <x v="6"/>
    <x v="1"/>
    <n v="12.5"/>
    <n v="0"/>
    <x v="9"/>
    <s v="USO Y GOCE"/>
    <x v="1"/>
    <m/>
    <m/>
    <n v="300"/>
    <n v="264"/>
    <n v="297"/>
  </r>
  <r>
    <x v="15"/>
    <x v="2"/>
    <x v="7"/>
    <x v="111"/>
    <x v="6"/>
    <x v="1"/>
    <n v="12.5"/>
    <n v="0"/>
    <x v="9"/>
    <s v="USO Y GOCE"/>
    <x v="1"/>
    <m/>
    <m/>
    <n v="300"/>
    <n v="264"/>
    <n v="297"/>
  </r>
  <r>
    <x v="15"/>
    <x v="2"/>
    <x v="7"/>
    <x v="123"/>
    <x v="6"/>
    <x v="1"/>
    <n v="12.5"/>
    <n v="0"/>
    <x v="9"/>
    <s v="USO Y GOCE"/>
    <x v="0"/>
    <m/>
    <m/>
    <n v="300"/>
    <n v="264"/>
    <n v="297"/>
  </r>
  <r>
    <x v="15"/>
    <x v="2"/>
    <x v="7"/>
    <x v="140"/>
    <x v="6"/>
    <x v="1"/>
    <n v="12.5"/>
    <n v="0"/>
    <x v="9"/>
    <s v="USO Y GOCE"/>
    <x v="0"/>
    <m/>
    <m/>
    <n v="300"/>
    <n v="264"/>
    <n v="297"/>
  </r>
  <r>
    <x v="15"/>
    <x v="2"/>
    <x v="7"/>
    <x v="169"/>
    <x v="6"/>
    <x v="1"/>
    <n v="12.5"/>
    <n v="0"/>
    <x v="9"/>
    <s v="USO Y GOCE"/>
    <x v="1"/>
    <m/>
    <m/>
    <n v="300"/>
    <n v="264"/>
    <n v="297"/>
  </r>
  <r>
    <x v="15"/>
    <x v="2"/>
    <x v="7"/>
    <x v="399"/>
    <x v="6"/>
    <x v="1"/>
    <n v="12.5"/>
    <n v="0"/>
    <x v="9"/>
    <s v="USO Y GOCE"/>
    <x v="1"/>
    <s v="E - 59"/>
    <m/>
    <n v="300"/>
    <n v="264"/>
    <n v="297"/>
  </r>
  <r>
    <x v="15"/>
    <x v="2"/>
    <x v="7"/>
    <x v="172"/>
    <x v="6"/>
    <x v="1"/>
    <n v="12.5"/>
    <n v="0"/>
    <x v="9"/>
    <s v="USO Y GOCE"/>
    <x v="0"/>
    <s v="E - 58"/>
    <m/>
    <n v="300"/>
    <n v="264"/>
    <n v="297"/>
  </r>
  <r>
    <x v="15"/>
    <x v="2"/>
    <x v="7"/>
    <x v="147"/>
    <x v="6"/>
    <x v="1"/>
    <n v="12.5"/>
    <n v="0"/>
    <x v="9"/>
    <s v="USO Y GOCE"/>
    <x v="0"/>
    <s v="E - 61"/>
    <m/>
    <n v="300"/>
    <n v="264"/>
    <n v="297"/>
  </r>
  <r>
    <x v="15"/>
    <x v="2"/>
    <x v="7"/>
    <x v="173"/>
    <x v="6"/>
    <x v="1"/>
    <n v="12.5"/>
    <n v="0"/>
    <x v="9"/>
    <s v="USO Y GOCE"/>
    <x v="0"/>
    <s v="E - 60"/>
    <m/>
    <n v="300"/>
    <n v="264"/>
    <n v="297"/>
  </r>
  <r>
    <x v="15"/>
    <x v="2"/>
    <x v="7"/>
    <x v="174"/>
    <x v="6"/>
    <x v="1"/>
    <n v="12.5"/>
    <n v="0"/>
    <x v="9"/>
    <s v="USO Y GOCE"/>
    <x v="0"/>
    <s v="E - 63"/>
    <m/>
    <n v="300"/>
    <n v="264"/>
    <n v="297"/>
  </r>
  <r>
    <x v="15"/>
    <x v="2"/>
    <x v="7"/>
    <x v="148"/>
    <x v="6"/>
    <x v="1"/>
    <n v="12.5"/>
    <n v="0"/>
    <x v="9"/>
    <s v="USO Y GOCE"/>
    <x v="0"/>
    <s v="E - 62"/>
    <m/>
    <n v="300"/>
    <n v="264"/>
    <n v="297"/>
  </r>
  <r>
    <x v="15"/>
    <x v="2"/>
    <x v="7"/>
    <x v="149"/>
    <x v="6"/>
    <x v="1"/>
    <n v="12.5"/>
    <n v="0"/>
    <x v="9"/>
    <s v="USO Y GOCE"/>
    <x v="0"/>
    <s v="E - 65"/>
    <m/>
    <n v="300"/>
    <n v="264"/>
    <n v="297"/>
  </r>
  <r>
    <x v="15"/>
    <x v="2"/>
    <x v="7"/>
    <x v="175"/>
    <x v="6"/>
    <x v="1"/>
    <n v="12.5"/>
    <n v="0"/>
    <x v="9"/>
    <s v="USO Y GOCE"/>
    <x v="0"/>
    <s v="E - 64"/>
    <m/>
    <n v="300"/>
    <n v="264"/>
    <n v="297"/>
  </r>
  <r>
    <x v="15"/>
    <x v="2"/>
    <x v="7"/>
    <x v="154"/>
    <x v="6"/>
    <x v="1"/>
    <n v="12.5"/>
    <n v="0"/>
    <x v="9"/>
    <s v="USO Y GOCE"/>
    <x v="1"/>
    <m/>
    <m/>
    <n v="300"/>
    <n v="264"/>
    <n v="297"/>
  </r>
  <r>
    <x v="15"/>
    <x v="2"/>
    <x v="7"/>
    <x v="158"/>
    <x v="6"/>
    <x v="1"/>
    <n v="12.5"/>
    <n v="0"/>
    <x v="9"/>
    <s v="USO Y GOCE"/>
    <x v="2"/>
    <m/>
    <s v="Assetplan - Asociado Dpto 310 B"/>
    <n v="300"/>
    <n v="264"/>
    <n v="297"/>
  </r>
  <r>
    <x v="15"/>
    <x v="2"/>
    <x v="7"/>
    <x v="162"/>
    <x v="6"/>
    <x v="1"/>
    <n v="12.5"/>
    <n v="0"/>
    <x v="9"/>
    <s v="USO Y GOCE"/>
    <x v="0"/>
    <m/>
    <m/>
    <n v="300"/>
    <n v="264"/>
    <n v="297"/>
  </r>
  <r>
    <x v="15"/>
    <x v="2"/>
    <x v="7"/>
    <x v="163"/>
    <x v="6"/>
    <x v="1"/>
    <n v="12.5"/>
    <n v="0"/>
    <x v="9"/>
    <s v="USO Y GOCE"/>
    <x v="1"/>
    <m/>
    <m/>
    <n v="300"/>
    <n v="264"/>
    <n v="297"/>
  </r>
  <r>
    <x v="15"/>
    <x v="2"/>
    <x v="7"/>
    <x v="534"/>
    <x v="6"/>
    <x v="1"/>
    <n v="12.5"/>
    <n v="0"/>
    <x v="4"/>
    <s v="DOMINIO"/>
    <x v="0"/>
    <m/>
    <m/>
    <n v="300"/>
    <n v="264"/>
    <n v="297"/>
  </r>
  <r>
    <x v="15"/>
    <x v="2"/>
    <x v="7"/>
    <x v="179"/>
    <x v="6"/>
    <x v="1"/>
    <n v="12.5"/>
    <n v="0"/>
    <x v="4"/>
    <s v="DOMINIO"/>
    <x v="0"/>
    <m/>
    <m/>
    <n v="300"/>
    <n v="264"/>
    <n v="297"/>
  </r>
  <r>
    <x v="15"/>
    <x v="2"/>
    <x v="7"/>
    <x v="180"/>
    <x v="6"/>
    <x v="1"/>
    <n v="12.5"/>
    <n v="0"/>
    <x v="4"/>
    <s v="DOMINIO"/>
    <x v="1"/>
    <m/>
    <m/>
    <n v="300"/>
    <n v="264"/>
    <n v="297"/>
  </r>
  <r>
    <x v="15"/>
    <x v="2"/>
    <x v="7"/>
    <x v="187"/>
    <x v="6"/>
    <x v="1"/>
    <n v="12.5"/>
    <n v="0"/>
    <x v="9"/>
    <s v="USO Y GOCE"/>
    <x v="2"/>
    <m/>
    <s v="Assetplan - Asociado Dpto 316 B"/>
    <n v="350"/>
    <n v="308"/>
    <n v="346.49999999999994"/>
  </r>
  <r>
    <x v="15"/>
    <x v="2"/>
    <x v="7"/>
    <x v="190"/>
    <x v="6"/>
    <x v="1"/>
    <n v="12.5"/>
    <n v="0"/>
    <x v="9"/>
    <s v="USO Y GOCE"/>
    <x v="1"/>
    <m/>
    <m/>
    <n v="300"/>
    <n v="264"/>
    <n v="297"/>
  </r>
  <r>
    <x v="15"/>
    <x v="2"/>
    <x v="7"/>
    <x v="191"/>
    <x v="6"/>
    <x v="1"/>
    <n v="12.5"/>
    <n v="0"/>
    <x v="9"/>
    <s v="USO Y GOCE"/>
    <x v="2"/>
    <m/>
    <s v="Assetplan - Asociado Dpto 405 B"/>
    <n v="300"/>
    <n v="264"/>
    <n v="297"/>
  </r>
  <r>
    <x v="15"/>
    <x v="2"/>
    <x v="7"/>
    <x v="202"/>
    <x v="6"/>
    <x v="14"/>
    <n v="12.5"/>
    <n v="0"/>
    <x v="9"/>
    <s v="USO Y GOCE"/>
    <x v="0"/>
    <s v="E - 112"/>
    <m/>
    <n v="300"/>
    <n v="264"/>
    <n v="297"/>
  </r>
  <r>
    <x v="15"/>
    <x v="2"/>
    <x v="7"/>
    <x v="203"/>
    <x v="6"/>
    <x v="1"/>
    <n v="12.5"/>
    <n v="0"/>
    <x v="9"/>
    <s v="USO Y GOCE"/>
    <x v="0"/>
    <s v="E - 111 .............."/>
    <m/>
    <n v="300"/>
    <n v="264"/>
    <n v="297"/>
  </r>
  <r>
    <x v="15"/>
    <x v="2"/>
    <x v="7"/>
    <x v="204"/>
    <x v="6"/>
    <x v="1"/>
    <n v="12.5"/>
    <n v="0"/>
    <x v="9"/>
    <s v="USO Y GOCE"/>
    <x v="0"/>
    <s v="E - 114"/>
    <m/>
    <n v="300"/>
    <n v="264"/>
    <n v="297"/>
  </r>
  <r>
    <x v="15"/>
    <x v="2"/>
    <x v="7"/>
    <x v="205"/>
    <x v="6"/>
    <x v="1"/>
    <n v="12.5"/>
    <n v="0"/>
    <x v="9"/>
    <s v="USO Y GOCE"/>
    <x v="0"/>
    <s v="E - 113"/>
    <m/>
    <n v="300"/>
    <n v="264"/>
    <n v="297"/>
  </r>
  <r>
    <x v="15"/>
    <x v="2"/>
    <x v="7"/>
    <x v="206"/>
    <x v="6"/>
    <x v="1"/>
    <n v="12.5"/>
    <n v="0"/>
    <x v="9"/>
    <s v="USO Y GOCE"/>
    <x v="0"/>
    <s v="E - 116"/>
    <m/>
    <n v="300"/>
    <n v="264"/>
    <n v="297"/>
  </r>
  <r>
    <x v="15"/>
    <x v="2"/>
    <x v="7"/>
    <x v="207"/>
    <x v="6"/>
    <x v="1"/>
    <n v="12.5"/>
    <n v="0"/>
    <x v="9"/>
    <s v="USO Y GOCE"/>
    <x v="0"/>
    <s v="E - 115"/>
    <m/>
    <n v="300"/>
    <n v="264"/>
    <n v="297"/>
  </r>
  <r>
    <x v="15"/>
    <x v="2"/>
    <x v="7"/>
    <x v="208"/>
    <x v="6"/>
    <x v="1"/>
    <n v="12.5"/>
    <n v="0"/>
    <x v="9"/>
    <s v="USO Y GOCE"/>
    <x v="0"/>
    <s v="E - 118"/>
    <m/>
    <n v="300"/>
    <n v="300"/>
    <n v="337.5"/>
  </r>
  <r>
    <x v="15"/>
    <x v="2"/>
    <x v="7"/>
    <x v="209"/>
    <x v="6"/>
    <x v="1"/>
    <n v="12.5"/>
    <n v="0"/>
    <x v="9"/>
    <s v="USO Y GOCE"/>
    <x v="0"/>
    <s v="E - 117"/>
    <m/>
    <n v="300"/>
    <n v="300"/>
    <n v="337.5"/>
  </r>
  <r>
    <x v="15"/>
    <x v="2"/>
    <x v="7"/>
    <x v="210"/>
    <x v="6"/>
    <x v="1"/>
    <n v="12.5"/>
    <n v="0"/>
    <x v="9"/>
    <s v="USO Y GOCE"/>
    <x v="0"/>
    <s v="E - 120 .............."/>
    <m/>
    <n v="300"/>
    <n v="300"/>
    <n v="337.5"/>
  </r>
  <r>
    <x v="15"/>
    <x v="2"/>
    <x v="7"/>
    <x v="211"/>
    <x v="6"/>
    <x v="14"/>
    <n v="12.5"/>
    <n v="0"/>
    <x v="9"/>
    <s v="USO Y GOCE"/>
    <x v="0"/>
    <s v="E - 119"/>
    <m/>
    <n v="300"/>
    <n v="300"/>
    <n v="337.5"/>
  </r>
  <r>
    <x v="15"/>
    <x v="2"/>
    <x v="7"/>
    <x v="212"/>
    <x v="6"/>
    <x v="1"/>
    <n v="12.5"/>
    <n v="0"/>
    <x v="9"/>
    <s v="USO Y GOCE"/>
    <x v="0"/>
    <s v="E - 122"/>
    <m/>
    <n v="300"/>
    <n v="300"/>
    <n v="337.5"/>
  </r>
  <r>
    <x v="15"/>
    <x v="2"/>
    <x v="7"/>
    <x v="213"/>
    <x v="6"/>
    <x v="1"/>
    <n v="12.5"/>
    <n v="0"/>
    <x v="9"/>
    <s v="USO Y GOCE"/>
    <x v="0"/>
    <s v="E - 121"/>
    <m/>
    <n v="300"/>
    <n v="300"/>
    <n v="337.5"/>
  </r>
  <r>
    <x v="15"/>
    <x v="2"/>
    <x v="7"/>
    <x v="214"/>
    <x v="6"/>
    <x v="1"/>
    <n v="12.5"/>
    <n v="0"/>
    <x v="9"/>
    <s v="USO Y GOCE"/>
    <x v="0"/>
    <s v="E - 124"/>
    <m/>
    <n v="300"/>
    <n v="300"/>
    <n v="337.5"/>
  </r>
  <r>
    <x v="15"/>
    <x v="2"/>
    <x v="7"/>
    <x v="215"/>
    <x v="6"/>
    <x v="1"/>
    <n v="12.5"/>
    <n v="0"/>
    <x v="9"/>
    <s v="USO Y GOCE"/>
    <x v="0"/>
    <s v="E - 123"/>
    <m/>
    <n v="300"/>
    <n v="300"/>
    <n v="337.5"/>
  </r>
  <r>
    <x v="15"/>
    <x v="2"/>
    <x v="7"/>
    <x v="223"/>
    <x v="6"/>
    <x v="1"/>
    <n v="12.5"/>
    <n v="0"/>
    <x v="4"/>
    <s v="DOMINIO"/>
    <x v="0"/>
    <m/>
    <m/>
    <n v="350"/>
    <n v="350"/>
    <n v="393.75"/>
  </r>
  <r>
    <x v="15"/>
    <x v="2"/>
    <x v="7"/>
    <x v="224"/>
    <x v="6"/>
    <x v="1"/>
    <n v="12.5"/>
    <n v="0"/>
    <x v="4"/>
    <s v="DOMINIO"/>
    <x v="1"/>
    <m/>
    <m/>
    <n v="350"/>
    <n v="350"/>
    <n v="393.75"/>
  </r>
  <r>
    <x v="15"/>
    <x v="2"/>
    <x v="7"/>
    <x v="588"/>
    <x v="6"/>
    <x v="1"/>
    <n v="12.5"/>
    <n v="0"/>
    <x v="4"/>
    <s v="DOMINIO"/>
    <x v="1"/>
    <m/>
    <m/>
    <n v="350"/>
    <n v="350"/>
    <n v="393.75"/>
  </r>
  <r>
    <x v="15"/>
    <x v="2"/>
    <x v="7"/>
    <x v="636"/>
    <x v="6"/>
    <x v="1"/>
    <n v="12.5"/>
    <n v="0"/>
    <x v="4"/>
    <s v="DOMINIO"/>
    <x v="0"/>
    <m/>
    <m/>
    <n v="350"/>
    <n v="350"/>
    <n v="393.75"/>
  </r>
  <r>
    <x v="15"/>
    <x v="2"/>
    <x v="7"/>
    <x v="637"/>
    <x v="6"/>
    <x v="1"/>
    <n v="12.5"/>
    <n v="0"/>
    <x v="4"/>
    <s v="DOMINIO"/>
    <x v="0"/>
    <m/>
    <m/>
    <n v="350"/>
    <n v="350"/>
    <n v="393.75"/>
  </r>
  <r>
    <x v="15"/>
    <x v="2"/>
    <x v="7"/>
    <x v="423"/>
    <x v="6"/>
    <x v="1"/>
    <n v="12.5"/>
    <n v="0"/>
    <x v="4"/>
    <s v="DOMINIO"/>
    <x v="0"/>
    <m/>
    <m/>
    <n v="350"/>
    <n v="350"/>
    <n v="393.75"/>
  </r>
  <r>
    <x v="16"/>
    <x v="0"/>
    <x v="3"/>
    <x v="292"/>
    <x v="3"/>
    <x v="1"/>
    <n v="38.340000000000003"/>
    <n v="2.27"/>
    <x v="1"/>
    <s v="DOMINIO"/>
    <x v="0"/>
    <m/>
    <m/>
    <n v="2726"/>
    <n v="2453.4"/>
    <n v="2760.0749999999998"/>
  </r>
  <r>
    <x v="16"/>
    <x v="0"/>
    <x v="3"/>
    <x v="278"/>
    <x v="0"/>
    <x v="1"/>
    <n v="38.33"/>
    <n v="2.27"/>
    <x v="2"/>
    <s v="DOMINIO"/>
    <x v="0"/>
    <m/>
    <m/>
    <n v="2365"/>
    <n v="2128.5"/>
    <n v="2394.5625"/>
  </r>
  <r>
    <x v="16"/>
    <x v="0"/>
    <x v="3"/>
    <x v="73"/>
    <x v="0"/>
    <x v="1"/>
    <n v="38.340000000000003"/>
    <n v="2.27"/>
    <x v="2"/>
    <s v="DOMINIO"/>
    <x v="0"/>
    <m/>
    <m/>
    <n v="2365"/>
    <n v="2128.5"/>
    <n v="2394.5625"/>
  </r>
  <r>
    <x v="16"/>
    <x v="0"/>
    <x v="3"/>
    <x v="401"/>
    <x v="0"/>
    <x v="1"/>
    <n v="39.36"/>
    <n v="2.27"/>
    <x v="2"/>
    <s v="DOMINIO"/>
    <x v="0"/>
    <m/>
    <m/>
    <n v="2365"/>
    <n v="2128.5"/>
    <n v="2394.5625"/>
  </r>
  <r>
    <x v="16"/>
    <x v="0"/>
    <x v="3"/>
    <x v="280"/>
    <x v="4"/>
    <x v="0"/>
    <n v="38.33"/>
    <n v="2.27"/>
    <x v="2"/>
    <s v="DOMINIO"/>
    <x v="0"/>
    <m/>
    <m/>
    <n v="2477"/>
    <n v="2229.3000000000002"/>
    <n v="2507.9625000000001"/>
  </r>
  <r>
    <x v="16"/>
    <x v="0"/>
    <x v="3"/>
    <x v="374"/>
    <x v="4"/>
    <x v="1"/>
    <n v="38.340000000000003"/>
    <n v="2.27"/>
    <x v="2"/>
    <s v="DOMINIO"/>
    <x v="0"/>
    <m/>
    <m/>
    <n v="2377"/>
    <n v="2139.3000000000002"/>
    <n v="2406.7125000000001"/>
  </r>
  <r>
    <x v="16"/>
    <x v="0"/>
    <x v="3"/>
    <x v="304"/>
    <x v="4"/>
    <x v="1"/>
    <n v="39.36"/>
    <n v="2.27"/>
    <x v="2"/>
    <s v="DOMINIO"/>
    <x v="0"/>
    <m/>
    <m/>
    <n v="2377"/>
    <n v="2139.3000000000002"/>
    <n v="2406.7125000000001"/>
  </r>
  <r>
    <x v="16"/>
    <x v="0"/>
    <x v="3"/>
    <x v="375"/>
    <x v="4"/>
    <x v="1"/>
    <n v="39.36"/>
    <n v="2.27"/>
    <x v="1"/>
    <s v="DOMINIO"/>
    <x v="0"/>
    <m/>
    <m/>
    <n v="2749"/>
    <n v="2474.1"/>
    <n v="2783.3624999999997"/>
  </r>
  <r>
    <x v="16"/>
    <x v="0"/>
    <x v="3"/>
    <x v="307"/>
    <x v="4"/>
    <x v="1"/>
    <n v="39.36"/>
    <n v="2.27"/>
    <x v="2"/>
    <s v="DOMINIO"/>
    <x v="0"/>
    <m/>
    <m/>
    <n v="2377"/>
    <n v="2139.3000000000002"/>
    <n v="2406.7125000000001"/>
  </r>
  <r>
    <x v="16"/>
    <x v="0"/>
    <x v="3"/>
    <x v="308"/>
    <x v="4"/>
    <x v="1"/>
    <n v="38.340000000000003"/>
    <n v="2.27"/>
    <x v="2"/>
    <s v="DOMINIO"/>
    <x v="0"/>
    <m/>
    <m/>
    <n v="2377"/>
    <n v="2139.3000000000002"/>
    <n v="2406.7125000000001"/>
  </r>
  <r>
    <x v="16"/>
    <x v="0"/>
    <x v="3"/>
    <x v="282"/>
    <x v="7"/>
    <x v="1"/>
    <n v="38.47"/>
    <n v="2.31"/>
    <x v="2"/>
    <s v="DOMINIO"/>
    <x v="0"/>
    <m/>
    <m/>
    <n v="2388"/>
    <n v="2149.2000000000003"/>
    <n v="2417.85"/>
  </r>
  <r>
    <x v="16"/>
    <x v="0"/>
    <x v="3"/>
    <x v="376"/>
    <x v="7"/>
    <x v="1"/>
    <n v="38.47"/>
    <n v="2.31"/>
    <x v="2"/>
    <s v="DOMINIO"/>
    <x v="0"/>
    <m/>
    <m/>
    <n v="2388"/>
    <n v="2149.2000000000003"/>
    <n v="2417.85"/>
  </r>
  <r>
    <x v="16"/>
    <x v="0"/>
    <x v="3"/>
    <x v="311"/>
    <x v="7"/>
    <x v="1"/>
    <n v="39.56"/>
    <n v="2.34"/>
    <x v="2"/>
    <s v="DOMINIO"/>
    <x v="0"/>
    <m/>
    <m/>
    <n v="2388"/>
    <n v="2149.2000000000003"/>
    <n v="2417.85"/>
  </r>
  <r>
    <x v="16"/>
    <x v="0"/>
    <x v="3"/>
    <x v="315"/>
    <x v="7"/>
    <x v="1"/>
    <n v="39.51"/>
    <n v="2.34"/>
    <x v="2"/>
    <s v="DOMINIO"/>
    <x v="0"/>
    <m/>
    <m/>
    <n v="2388"/>
    <n v="2149.2000000000003"/>
    <n v="2417.85"/>
  </r>
  <r>
    <x v="16"/>
    <x v="0"/>
    <x v="3"/>
    <x v="11"/>
    <x v="7"/>
    <x v="1"/>
    <n v="38.479999999999997"/>
    <n v="2.31"/>
    <x v="2"/>
    <s v="DOMINIO"/>
    <x v="0"/>
    <m/>
    <m/>
    <n v="2388"/>
    <n v="2149.2000000000003"/>
    <n v="2417.85"/>
  </r>
  <r>
    <x v="16"/>
    <x v="0"/>
    <x v="3"/>
    <x v="284"/>
    <x v="8"/>
    <x v="1"/>
    <n v="38.47"/>
    <n v="2.31"/>
    <x v="2"/>
    <s v="DOMINIO"/>
    <x v="0"/>
    <m/>
    <m/>
    <n v="2400"/>
    <n v="2160"/>
    <n v="2430"/>
  </r>
  <r>
    <x v="16"/>
    <x v="0"/>
    <x v="3"/>
    <x v="74"/>
    <x v="8"/>
    <x v="1"/>
    <n v="38.47"/>
    <n v="2.31"/>
    <x v="2"/>
    <s v="DOMINIO"/>
    <x v="0"/>
    <m/>
    <m/>
    <n v="2400"/>
    <n v="2160"/>
    <n v="2430"/>
  </r>
  <r>
    <x v="16"/>
    <x v="0"/>
    <x v="3"/>
    <x v="319"/>
    <x v="8"/>
    <x v="1"/>
    <n v="39.56"/>
    <n v="2.34"/>
    <x v="2"/>
    <s v="DOMINIO"/>
    <x v="0"/>
    <m/>
    <m/>
    <n v="2400"/>
    <n v="2160"/>
    <n v="2430"/>
  </r>
  <r>
    <x v="16"/>
    <x v="0"/>
    <x v="3"/>
    <x v="323"/>
    <x v="8"/>
    <x v="1"/>
    <n v="39.51"/>
    <n v="2.34"/>
    <x v="2"/>
    <s v="DOMINIO"/>
    <x v="0"/>
    <m/>
    <m/>
    <n v="2400"/>
    <n v="2160"/>
    <n v="2430"/>
  </r>
  <r>
    <x v="16"/>
    <x v="0"/>
    <x v="3"/>
    <x v="13"/>
    <x v="8"/>
    <x v="1"/>
    <n v="38.479999999999997"/>
    <n v="2.31"/>
    <x v="2"/>
    <s v="DOMINIO"/>
    <x v="0"/>
    <m/>
    <m/>
    <n v="2400"/>
    <n v="2160"/>
    <n v="2430"/>
  </r>
  <r>
    <x v="16"/>
    <x v="0"/>
    <x v="3"/>
    <x v="75"/>
    <x v="9"/>
    <x v="1"/>
    <n v="38.47"/>
    <n v="2.31"/>
    <x v="2"/>
    <s v="DOMINIO"/>
    <x v="0"/>
    <m/>
    <m/>
    <n v="2411"/>
    <n v="2169.9"/>
    <n v="2441.1374999999998"/>
  </r>
  <r>
    <x v="16"/>
    <x v="0"/>
    <x v="3"/>
    <x v="76"/>
    <x v="9"/>
    <x v="1"/>
    <n v="38.47"/>
    <n v="2.31"/>
    <x v="2"/>
    <s v="DOMINIO"/>
    <x v="0"/>
    <m/>
    <m/>
    <n v="2411"/>
    <n v="2169.9"/>
    <n v="2441.1374999999998"/>
  </r>
  <r>
    <x v="16"/>
    <x v="0"/>
    <x v="3"/>
    <x v="327"/>
    <x v="9"/>
    <x v="1"/>
    <n v="39.56"/>
    <n v="2.34"/>
    <x v="2"/>
    <s v="DOMINIO"/>
    <x v="0"/>
    <m/>
    <m/>
    <n v="2411"/>
    <n v="2169.9"/>
    <n v="2441.1374999999998"/>
  </r>
  <r>
    <x v="16"/>
    <x v="0"/>
    <x v="3"/>
    <x v="331"/>
    <x v="9"/>
    <x v="1"/>
    <n v="39.51"/>
    <n v="2.34"/>
    <x v="2"/>
    <s v="DOMINIO"/>
    <x v="0"/>
    <m/>
    <m/>
    <n v="2411"/>
    <n v="2169.9"/>
    <n v="2441.1374999999998"/>
  </r>
  <r>
    <x v="16"/>
    <x v="0"/>
    <x v="3"/>
    <x v="16"/>
    <x v="9"/>
    <x v="1"/>
    <n v="38.479999999999997"/>
    <n v="2.31"/>
    <x v="2"/>
    <s v="DOMINIO"/>
    <x v="0"/>
    <m/>
    <m/>
    <n v="2411"/>
    <n v="2169.9"/>
    <n v="2441.1374999999998"/>
  </r>
  <r>
    <x v="16"/>
    <x v="0"/>
    <x v="3"/>
    <x v="77"/>
    <x v="5"/>
    <x v="1"/>
    <n v="38.47"/>
    <n v="2.31"/>
    <x v="2"/>
    <s v="DOMINIO"/>
    <x v="0"/>
    <m/>
    <m/>
    <n v="2422"/>
    <n v="2179.8000000000002"/>
    <n v="2452.2750000000001"/>
  </r>
  <r>
    <x v="16"/>
    <x v="0"/>
    <x v="3"/>
    <x v="78"/>
    <x v="5"/>
    <x v="1"/>
    <n v="38.47"/>
    <n v="2.31"/>
    <x v="2"/>
    <s v="DOMINIO"/>
    <x v="0"/>
    <m/>
    <m/>
    <n v="2422"/>
    <n v="2179.8000000000002"/>
    <n v="2452.2750000000001"/>
  </r>
  <r>
    <x v="16"/>
    <x v="0"/>
    <x v="3"/>
    <x v="335"/>
    <x v="5"/>
    <x v="1"/>
    <n v="39.56"/>
    <n v="2.34"/>
    <x v="2"/>
    <s v="DOMINIO"/>
    <x v="0"/>
    <m/>
    <m/>
    <n v="2422"/>
    <n v="2179.8000000000002"/>
    <n v="2452.2750000000001"/>
  </r>
  <r>
    <x v="16"/>
    <x v="0"/>
    <x v="3"/>
    <x v="337"/>
    <x v="5"/>
    <x v="1"/>
    <n v="38.479999999999997"/>
    <n v="2.31"/>
    <x v="1"/>
    <s v="DOMINIO"/>
    <x v="0"/>
    <m/>
    <m/>
    <n v="2695"/>
    <n v="2425.5"/>
    <n v="2728.6874999999995"/>
  </r>
  <r>
    <x v="16"/>
    <x v="0"/>
    <x v="3"/>
    <x v="338"/>
    <x v="5"/>
    <x v="1"/>
    <n v="39.51"/>
    <n v="2.34"/>
    <x v="2"/>
    <s v="DOMINIO"/>
    <x v="0"/>
    <m/>
    <m/>
    <n v="2422"/>
    <n v="2179.8000000000002"/>
    <n v="2452.2750000000001"/>
  </r>
  <r>
    <x v="16"/>
    <x v="0"/>
    <x v="3"/>
    <x v="20"/>
    <x v="5"/>
    <x v="1"/>
    <n v="38.479999999999997"/>
    <n v="2.31"/>
    <x v="2"/>
    <s v="DOMINIO"/>
    <x v="0"/>
    <m/>
    <m/>
    <n v="2422"/>
    <n v="2179.8000000000002"/>
    <n v="2452.2750000000001"/>
  </r>
  <r>
    <x v="16"/>
    <x v="0"/>
    <x v="3"/>
    <x v="79"/>
    <x v="10"/>
    <x v="1"/>
    <n v="38.47"/>
    <n v="2.31"/>
    <x v="2"/>
    <s v="DOMINIO"/>
    <x v="0"/>
    <m/>
    <m/>
    <n v="2434"/>
    <n v="2190.6"/>
    <n v="2464.4249999999997"/>
  </r>
  <r>
    <x v="16"/>
    <x v="0"/>
    <x v="3"/>
    <x v="80"/>
    <x v="10"/>
    <x v="1"/>
    <n v="38.47"/>
    <n v="2.31"/>
    <x v="2"/>
    <s v="DOMINIO"/>
    <x v="0"/>
    <m/>
    <m/>
    <n v="2434"/>
    <n v="2190.6"/>
    <n v="2464.4249999999997"/>
  </r>
  <r>
    <x v="16"/>
    <x v="0"/>
    <x v="3"/>
    <x v="240"/>
    <x v="10"/>
    <x v="1"/>
    <n v="39.56"/>
    <n v="2.34"/>
    <x v="2"/>
    <s v="DOMINIO"/>
    <x v="0"/>
    <m/>
    <m/>
    <n v="2434"/>
    <n v="2190.6"/>
    <n v="2464.4249999999997"/>
  </r>
  <r>
    <x v="16"/>
    <x v="0"/>
    <x v="3"/>
    <x v="341"/>
    <x v="10"/>
    <x v="0"/>
    <n v="38.479999999999997"/>
    <n v="2.31"/>
    <x v="1"/>
    <s v="DOMINIO"/>
    <x v="0"/>
    <m/>
    <m/>
    <n v="2806"/>
    <n v="2525.4"/>
    <n v="2841.0749999999998"/>
  </r>
  <r>
    <x v="16"/>
    <x v="0"/>
    <x v="3"/>
    <x v="342"/>
    <x v="10"/>
    <x v="1"/>
    <n v="39.51"/>
    <n v="2.34"/>
    <x v="2"/>
    <s v="DOMINIO"/>
    <x v="0"/>
    <m/>
    <m/>
    <n v="2434"/>
    <n v="2190.6"/>
    <n v="2464.4249999999997"/>
  </r>
  <r>
    <x v="16"/>
    <x v="0"/>
    <x v="3"/>
    <x v="24"/>
    <x v="10"/>
    <x v="1"/>
    <n v="38.479999999999997"/>
    <n v="2.31"/>
    <x v="2"/>
    <s v="DOMINIO"/>
    <x v="0"/>
    <m/>
    <m/>
    <n v="2434"/>
    <n v="2190.6"/>
    <n v="2464.4249999999997"/>
  </r>
  <r>
    <x v="16"/>
    <x v="0"/>
    <x v="3"/>
    <x v="81"/>
    <x v="11"/>
    <x v="1"/>
    <n v="38.47"/>
    <n v="2.31"/>
    <x v="2"/>
    <s v="DOMINIO"/>
    <x v="0"/>
    <m/>
    <m/>
    <n v="2445"/>
    <n v="2200.5"/>
    <n v="2475.5625"/>
  </r>
  <r>
    <x v="16"/>
    <x v="0"/>
    <x v="3"/>
    <x v="82"/>
    <x v="11"/>
    <x v="1"/>
    <n v="38.47"/>
    <n v="2.31"/>
    <x v="2"/>
    <s v="DOMINIO"/>
    <x v="0"/>
    <m/>
    <m/>
    <n v="2445"/>
    <n v="2200.5"/>
    <n v="2475.5625"/>
  </r>
  <r>
    <x v="16"/>
    <x v="0"/>
    <x v="3"/>
    <x v="345"/>
    <x v="11"/>
    <x v="1"/>
    <n v="39.56"/>
    <n v="2.34"/>
    <x v="2"/>
    <s v="DOMINIO"/>
    <x v="0"/>
    <m/>
    <m/>
    <n v="2445"/>
    <n v="2200.5"/>
    <n v="2475.5625"/>
  </r>
  <r>
    <x v="16"/>
    <x v="0"/>
    <x v="3"/>
    <x v="386"/>
    <x v="11"/>
    <x v="1"/>
    <n v="39.51"/>
    <n v="2.34"/>
    <x v="1"/>
    <s v="DOMINIO"/>
    <x v="0"/>
    <m/>
    <m/>
    <n v="2818"/>
    <n v="2536.2000000000003"/>
    <n v="2853.2250000000004"/>
  </r>
  <r>
    <x v="16"/>
    <x v="0"/>
    <x v="3"/>
    <x v="348"/>
    <x v="11"/>
    <x v="1"/>
    <n v="39.51"/>
    <n v="2.34"/>
    <x v="2"/>
    <s v="DOMINIO"/>
    <x v="0"/>
    <m/>
    <m/>
    <n v="2445"/>
    <n v="2200.5"/>
    <n v="2475.5625"/>
  </r>
  <r>
    <x v="16"/>
    <x v="0"/>
    <x v="3"/>
    <x v="29"/>
    <x v="11"/>
    <x v="1"/>
    <n v="38.479999999999997"/>
    <n v="2.31"/>
    <x v="2"/>
    <s v="DOMINIO"/>
    <x v="0"/>
    <m/>
    <m/>
    <n v="2445"/>
    <n v="2200.5"/>
    <n v="2475.5625"/>
  </r>
  <r>
    <x v="16"/>
    <x v="0"/>
    <x v="3"/>
    <x v="83"/>
    <x v="12"/>
    <x v="1"/>
    <n v="38.61"/>
    <n v="2.36"/>
    <x v="2"/>
    <s v="DOMINIO"/>
    <x v="0"/>
    <m/>
    <m/>
    <n v="2457"/>
    <n v="2211.3000000000002"/>
    <n v="2487.7125000000001"/>
  </r>
  <r>
    <x v="16"/>
    <x v="0"/>
    <x v="3"/>
    <x v="84"/>
    <x v="12"/>
    <x v="1"/>
    <n v="38.61"/>
    <n v="2.36"/>
    <x v="2"/>
    <s v="DOMINIO"/>
    <x v="0"/>
    <m/>
    <m/>
    <n v="2457"/>
    <n v="2211.3000000000002"/>
    <n v="2487.7125000000001"/>
  </r>
  <r>
    <x v="16"/>
    <x v="0"/>
    <x v="3"/>
    <x v="546"/>
    <x v="12"/>
    <x v="1"/>
    <n v="39.74"/>
    <n v="2.4"/>
    <x v="2"/>
    <s v="DOMINIO"/>
    <x v="0"/>
    <m/>
    <m/>
    <n v="2457"/>
    <n v="2211.3000000000002"/>
    <n v="2487.7125000000001"/>
  </r>
  <r>
    <x v="16"/>
    <x v="0"/>
    <x v="3"/>
    <x v="674"/>
    <x v="12"/>
    <x v="1"/>
    <n v="38.61"/>
    <n v="2.36"/>
    <x v="1"/>
    <s v="DOMINIO"/>
    <x v="0"/>
    <m/>
    <m/>
    <n v="2829"/>
    <n v="2546.1"/>
    <n v="2864.3624999999997"/>
  </r>
  <r>
    <x v="16"/>
    <x v="0"/>
    <x v="3"/>
    <x v="559"/>
    <x v="12"/>
    <x v="1"/>
    <n v="39.659999999999997"/>
    <n v="2.4"/>
    <x v="1"/>
    <s v="DOMINIO"/>
    <x v="0"/>
    <m/>
    <m/>
    <n v="2829"/>
    <n v="2546.1"/>
    <n v="2864.3624999999997"/>
  </r>
  <r>
    <x v="16"/>
    <x v="0"/>
    <x v="3"/>
    <x v="404"/>
    <x v="12"/>
    <x v="1"/>
    <n v="39.65"/>
    <n v="2.4"/>
    <x v="2"/>
    <s v="DOMINIO"/>
    <x v="0"/>
    <m/>
    <m/>
    <n v="2457"/>
    <n v="2211.3000000000002"/>
    <n v="2487.7125000000001"/>
  </r>
  <r>
    <x v="16"/>
    <x v="0"/>
    <x v="3"/>
    <x v="33"/>
    <x v="12"/>
    <x v="1"/>
    <n v="38.61"/>
    <n v="2.36"/>
    <x v="2"/>
    <s v="DOMINIO"/>
    <x v="0"/>
    <m/>
    <m/>
    <n v="2457"/>
    <n v="2211.3000000000002"/>
    <n v="2487.7125000000001"/>
  </r>
  <r>
    <x v="16"/>
    <x v="0"/>
    <x v="3"/>
    <x v="85"/>
    <x v="13"/>
    <x v="1"/>
    <n v="38.61"/>
    <n v="2.36"/>
    <x v="2"/>
    <s v="DOMINIO"/>
    <x v="0"/>
    <m/>
    <m/>
    <n v="2468"/>
    <n v="2221.2000000000003"/>
    <n v="2498.85"/>
  </r>
  <r>
    <x v="16"/>
    <x v="0"/>
    <x v="3"/>
    <x v="86"/>
    <x v="13"/>
    <x v="1"/>
    <n v="38.61"/>
    <n v="2.36"/>
    <x v="2"/>
    <s v="DOMINIO"/>
    <x v="0"/>
    <m/>
    <m/>
    <n v="2468"/>
    <n v="2221.2000000000003"/>
    <n v="2498.85"/>
  </r>
  <r>
    <x v="16"/>
    <x v="0"/>
    <x v="3"/>
    <x v="548"/>
    <x v="13"/>
    <x v="1"/>
    <n v="39.74"/>
    <n v="2.4"/>
    <x v="2"/>
    <s v="DOMINIO"/>
    <x v="0"/>
    <m/>
    <m/>
    <n v="2468"/>
    <n v="2221.2000000000003"/>
    <n v="2498.85"/>
  </r>
  <r>
    <x v="16"/>
    <x v="0"/>
    <x v="3"/>
    <x v="564"/>
    <x v="13"/>
    <x v="1"/>
    <n v="39.659999999999997"/>
    <n v="2.4"/>
    <x v="1"/>
    <s v="DOMINIO"/>
    <x v="0"/>
    <m/>
    <m/>
    <n v="2841"/>
    <n v="2556.9"/>
    <n v="2876.5124999999998"/>
  </r>
  <r>
    <x v="16"/>
    <x v="0"/>
    <x v="3"/>
    <x v="542"/>
    <x v="13"/>
    <x v="1"/>
    <n v="39.65"/>
    <n v="2.4"/>
    <x v="2"/>
    <s v="DOMINIO"/>
    <x v="0"/>
    <m/>
    <m/>
    <n v="2468"/>
    <n v="2221.2000000000003"/>
    <n v="2498.85"/>
  </r>
  <r>
    <x v="16"/>
    <x v="0"/>
    <x v="3"/>
    <x v="38"/>
    <x v="13"/>
    <x v="1"/>
    <n v="38.61"/>
    <n v="2.36"/>
    <x v="2"/>
    <s v="DOMINIO"/>
    <x v="0"/>
    <m/>
    <m/>
    <n v="2468"/>
    <n v="2221.2000000000003"/>
    <n v="2498.85"/>
  </r>
  <r>
    <x v="16"/>
    <x v="0"/>
    <x v="3"/>
    <x v="87"/>
    <x v="14"/>
    <x v="1"/>
    <n v="38.61"/>
    <n v="2.36"/>
    <x v="2"/>
    <s v="DOMINIO"/>
    <x v="0"/>
    <m/>
    <m/>
    <n v="2480"/>
    <n v="2232"/>
    <n v="2511"/>
  </r>
  <r>
    <x v="16"/>
    <x v="0"/>
    <x v="3"/>
    <x v="88"/>
    <x v="14"/>
    <x v="1"/>
    <n v="38.61"/>
    <n v="2.36"/>
    <x v="2"/>
    <s v="DOMINIO"/>
    <x v="0"/>
    <m/>
    <m/>
    <n v="2480"/>
    <n v="2232"/>
    <n v="2511"/>
  </r>
  <r>
    <x v="16"/>
    <x v="0"/>
    <x v="3"/>
    <x v="550"/>
    <x v="14"/>
    <x v="1"/>
    <n v="39.74"/>
    <n v="2.4"/>
    <x v="2"/>
    <s v="DOMINIO"/>
    <x v="0"/>
    <m/>
    <m/>
    <n v="2480"/>
    <n v="2232"/>
    <n v="2511"/>
  </r>
  <r>
    <x v="16"/>
    <x v="0"/>
    <x v="3"/>
    <x v="540"/>
    <x v="14"/>
    <x v="1"/>
    <n v="38.61"/>
    <n v="2.36"/>
    <x v="1"/>
    <s v="DOMINIO"/>
    <x v="0"/>
    <m/>
    <m/>
    <n v="2852"/>
    <n v="2566.8000000000002"/>
    <n v="2887.65"/>
  </r>
  <r>
    <x v="16"/>
    <x v="0"/>
    <x v="3"/>
    <x v="571"/>
    <x v="14"/>
    <x v="1"/>
    <n v="39.659999999999997"/>
    <n v="2.4"/>
    <x v="1"/>
    <s v="DOMINIO"/>
    <x v="0"/>
    <m/>
    <m/>
    <n v="2852"/>
    <n v="2566.8000000000002"/>
    <n v="2887.65"/>
  </r>
  <r>
    <x v="16"/>
    <x v="0"/>
    <x v="3"/>
    <x v="544"/>
    <x v="14"/>
    <x v="1"/>
    <n v="39.65"/>
    <n v="2.4"/>
    <x v="2"/>
    <s v="DOMINIO"/>
    <x v="0"/>
    <m/>
    <m/>
    <n v="2480"/>
    <n v="2232"/>
    <n v="2511"/>
  </r>
  <r>
    <x v="16"/>
    <x v="0"/>
    <x v="3"/>
    <x v="43"/>
    <x v="14"/>
    <x v="1"/>
    <n v="38.61"/>
    <n v="2.36"/>
    <x v="2"/>
    <s v="DOMINIO"/>
    <x v="0"/>
    <m/>
    <m/>
    <n v="2480"/>
    <n v="2232"/>
    <n v="2511"/>
  </r>
  <r>
    <x v="16"/>
    <x v="0"/>
    <x v="3"/>
    <x v="89"/>
    <x v="15"/>
    <x v="1"/>
    <n v="38.61"/>
    <n v="2.36"/>
    <x v="2"/>
    <s v="DOMINIO"/>
    <x v="0"/>
    <m/>
    <m/>
    <n v="2491"/>
    <n v="2241.9"/>
    <n v="2522.1374999999998"/>
  </r>
  <r>
    <x v="16"/>
    <x v="0"/>
    <x v="3"/>
    <x v="90"/>
    <x v="15"/>
    <x v="1"/>
    <n v="38.61"/>
    <n v="2.36"/>
    <x v="2"/>
    <s v="DOMINIO"/>
    <x v="0"/>
    <m/>
    <m/>
    <n v="2491"/>
    <n v="2241.9"/>
    <n v="2522.1374999999998"/>
  </r>
  <r>
    <x v="16"/>
    <x v="0"/>
    <x v="3"/>
    <x v="552"/>
    <x v="15"/>
    <x v="1"/>
    <n v="39.74"/>
    <n v="2.4"/>
    <x v="2"/>
    <s v="DOMINIO"/>
    <x v="0"/>
    <m/>
    <m/>
    <n v="2491"/>
    <n v="2241.9"/>
    <n v="2522.1374999999998"/>
  </r>
  <r>
    <x v="16"/>
    <x v="0"/>
    <x v="3"/>
    <x v="676"/>
    <x v="15"/>
    <x v="1"/>
    <n v="38.61"/>
    <n v="2.36"/>
    <x v="1"/>
    <s v="DOMINIO"/>
    <x v="0"/>
    <m/>
    <m/>
    <n v="2864"/>
    <n v="2577.6"/>
    <n v="2899.8"/>
  </r>
  <r>
    <x v="16"/>
    <x v="0"/>
    <x v="3"/>
    <x v="677"/>
    <x v="15"/>
    <x v="1"/>
    <n v="39.659999999999997"/>
    <n v="2.4"/>
    <x v="1"/>
    <s v="DOMINIO"/>
    <x v="0"/>
    <m/>
    <m/>
    <n v="2864"/>
    <n v="2577.6"/>
    <n v="2899.8"/>
  </r>
  <r>
    <x v="16"/>
    <x v="0"/>
    <x v="3"/>
    <x v="233"/>
    <x v="15"/>
    <x v="1"/>
    <n v="39.65"/>
    <n v="2.4"/>
    <x v="2"/>
    <s v="DOMINIO"/>
    <x v="0"/>
    <m/>
    <m/>
    <n v="2491"/>
    <n v="2241.9"/>
    <n v="2522.1374999999998"/>
  </r>
  <r>
    <x v="16"/>
    <x v="0"/>
    <x v="3"/>
    <x v="48"/>
    <x v="15"/>
    <x v="1"/>
    <n v="38.61"/>
    <n v="2.36"/>
    <x v="2"/>
    <s v="DOMINIO"/>
    <x v="0"/>
    <m/>
    <m/>
    <n v="2491"/>
    <n v="2241.9"/>
    <n v="2522.1374999999998"/>
  </r>
  <r>
    <x v="16"/>
    <x v="0"/>
    <x v="3"/>
    <x v="91"/>
    <x v="16"/>
    <x v="1"/>
    <n v="38.61"/>
    <n v="2.36"/>
    <x v="2"/>
    <s v="DOMINIO"/>
    <x v="0"/>
    <m/>
    <m/>
    <n v="2503"/>
    <n v="2252.7000000000003"/>
    <n v="2534.2875000000004"/>
  </r>
  <r>
    <x v="16"/>
    <x v="0"/>
    <x v="3"/>
    <x v="92"/>
    <x v="16"/>
    <x v="1"/>
    <n v="38.61"/>
    <n v="2.36"/>
    <x v="2"/>
    <s v="DOMINIO"/>
    <x v="0"/>
    <m/>
    <m/>
    <n v="2503"/>
    <n v="2252.7000000000003"/>
    <n v="2534.2875000000004"/>
  </r>
  <r>
    <x v="16"/>
    <x v="0"/>
    <x v="3"/>
    <x v="666"/>
    <x v="16"/>
    <x v="1"/>
    <n v="39.74"/>
    <n v="2.4"/>
    <x v="2"/>
    <s v="DOMINIO"/>
    <x v="0"/>
    <m/>
    <m/>
    <n v="2503"/>
    <n v="2252.7000000000003"/>
    <n v="2534.2875000000004"/>
  </r>
  <r>
    <x v="16"/>
    <x v="0"/>
    <x v="10"/>
    <x v="236"/>
    <x v="3"/>
    <x v="1"/>
    <n v="44.14"/>
    <n v="2.2599999999999998"/>
    <x v="1"/>
    <s v="DOMINIO"/>
    <x v="0"/>
    <m/>
    <m/>
    <n v="3186"/>
    <n v="2867.4"/>
    <n v="3225.8249999999998"/>
  </r>
  <r>
    <x v="16"/>
    <x v="0"/>
    <x v="10"/>
    <x v="439"/>
    <x v="3"/>
    <x v="1"/>
    <n v="44.13"/>
    <n v="2.25"/>
    <x v="1"/>
    <s v="DOMINIO"/>
    <x v="0"/>
    <m/>
    <m/>
    <n v="3186"/>
    <n v="2867.4"/>
    <n v="3225.8249999999998"/>
  </r>
  <r>
    <x v="16"/>
    <x v="0"/>
    <x v="10"/>
    <x v="388"/>
    <x v="3"/>
    <x v="1"/>
    <n v="44.37"/>
    <n v="2.2400000000000002"/>
    <x v="1"/>
    <s v="DOMINIO"/>
    <x v="0"/>
    <m/>
    <m/>
    <n v="3186"/>
    <n v="2867.4"/>
    <n v="3225.8249999999998"/>
  </r>
  <r>
    <x v="16"/>
    <x v="0"/>
    <x v="10"/>
    <x v="291"/>
    <x v="3"/>
    <x v="1"/>
    <n v="44.14"/>
    <n v="2.2599999999999998"/>
    <x v="1"/>
    <s v="DOMINIO"/>
    <x v="0"/>
    <m/>
    <m/>
    <n v="3186"/>
    <n v="2867.4"/>
    <n v="3225.8249999999998"/>
  </r>
  <r>
    <x v="16"/>
    <x v="0"/>
    <x v="10"/>
    <x v="351"/>
    <x v="3"/>
    <x v="1"/>
    <n v="44.14"/>
    <n v="2.25"/>
    <x v="1"/>
    <s v="DOMINIO"/>
    <x v="0"/>
    <m/>
    <m/>
    <n v="3186"/>
    <n v="2867.4"/>
    <n v="3225.8249999999998"/>
  </r>
  <r>
    <x v="16"/>
    <x v="0"/>
    <x v="10"/>
    <x v="279"/>
    <x v="0"/>
    <x v="1"/>
    <n v="44.14"/>
    <n v="2.25"/>
    <x v="1"/>
    <s v="DOMINIO"/>
    <x v="0"/>
    <m/>
    <m/>
    <n v="3197"/>
    <n v="2877.3"/>
    <n v="3236.9625000000001"/>
  </r>
  <r>
    <x v="16"/>
    <x v="0"/>
    <x v="10"/>
    <x v="237"/>
    <x v="0"/>
    <x v="1"/>
    <n v="44.14"/>
    <n v="2.25"/>
    <x v="1"/>
    <s v="DOMINIO"/>
    <x v="0"/>
    <m/>
    <m/>
    <n v="3197"/>
    <n v="2877.3"/>
    <n v="3236.9625000000001"/>
  </r>
  <r>
    <x v="16"/>
    <x v="0"/>
    <x v="10"/>
    <x v="299"/>
    <x v="0"/>
    <x v="1"/>
    <n v="44.14"/>
    <n v="2.2599999999999998"/>
    <x v="1"/>
    <s v="DOMINIO"/>
    <x v="0"/>
    <m/>
    <m/>
    <n v="3197"/>
    <n v="2877.3"/>
    <n v="3236.9625000000001"/>
  </r>
  <r>
    <x v="16"/>
    <x v="0"/>
    <x v="10"/>
    <x v="354"/>
    <x v="0"/>
    <x v="1"/>
    <n v="44.14"/>
    <n v="2.25"/>
    <x v="1"/>
    <s v="DOMINIO"/>
    <x v="0"/>
    <m/>
    <m/>
    <n v="3197"/>
    <n v="2877.3"/>
    <n v="3236.9625000000001"/>
  </r>
  <r>
    <x v="16"/>
    <x v="0"/>
    <x v="10"/>
    <x v="281"/>
    <x v="4"/>
    <x v="1"/>
    <n v="44.14"/>
    <n v="2.25"/>
    <x v="1"/>
    <s v="DOMINIO"/>
    <x v="0"/>
    <m/>
    <m/>
    <n v="3209"/>
    <n v="2888.1"/>
    <n v="3249.1124999999997"/>
  </r>
  <r>
    <x v="16"/>
    <x v="0"/>
    <x v="10"/>
    <x v="515"/>
    <x v="4"/>
    <x v="1"/>
    <n v="44.14"/>
    <n v="2.25"/>
    <x v="1"/>
    <s v="DOMINIO"/>
    <x v="0"/>
    <m/>
    <m/>
    <n v="3209"/>
    <n v="2888.1"/>
    <n v="3249.1124999999997"/>
  </r>
  <r>
    <x v="16"/>
    <x v="0"/>
    <x v="10"/>
    <x v="305"/>
    <x v="4"/>
    <x v="1"/>
    <n v="44.14"/>
    <n v="2.2599999999999998"/>
    <x v="1"/>
    <s v="DOMINIO"/>
    <x v="0"/>
    <m/>
    <m/>
    <n v="3209"/>
    <n v="2888.1"/>
    <n v="3249.1124999999997"/>
  </r>
  <r>
    <x v="16"/>
    <x v="0"/>
    <x v="10"/>
    <x v="377"/>
    <x v="7"/>
    <x v="1"/>
    <n v="44.29"/>
    <n v="2.2999999999999998"/>
    <x v="1"/>
    <s v="DOMINIO"/>
    <x v="0"/>
    <m/>
    <m/>
    <n v="3220"/>
    <n v="2898"/>
    <n v="3260.2499999999995"/>
  </r>
  <r>
    <x v="16"/>
    <x v="0"/>
    <x v="10"/>
    <x v="283"/>
    <x v="7"/>
    <x v="1"/>
    <n v="44.3"/>
    <n v="2.2999999999999998"/>
    <x v="1"/>
    <s v="DOMINIO"/>
    <x v="0"/>
    <m/>
    <m/>
    <n v="3220"/>
    <n v="2898"/>
    <n v="3260.2499999999995"/>
  </r>
  <r>
    <x v="16"/>
    <x v="0"/>
    <x v="10"/>
    <x v="531"/>
    <x v="7"/>
    <x v="1"/>
    <n v="44.3"/>
    <n v="2.2999999999999998"/>
    <x v="1"/>
    <s v="DOMINIO"/>
    <x v="0"/>
    <m/>
    <m/>
    <n v="3220"/>
    <n v="2898"/>
    <n v="3260.2499999999995"/>
  </r>
  <r>
    <x v="16"/>
    <x v="0"/>
    <x v="10"/>
    <x v="313"/>
    <x v="7"/>
    <x v="1"/>
    <n v="44.29"/>
    <n v="2.2999999999999998"/>
    <x v="1"/>
    <s v="DOMINIO"/>
    <x v="0"/>
    <m/>
    <m/>
    <n v="3220"/>
    <n v="2898"/>
    <n v="3260.2499999999995"/>
  </r>
  <r>
    <x v="16"/>
    <x v="0"/>
    <x v="10"/>
    <x v="10"/>
    <x v="7"/>
    <x v="1"/>
    <n v="44.3"/>
    <n v="2.2999999999999998"/>
    <x v="1"/>
    <s v="DOMINIO"/>
    <x v="0"/>
    <m/>
    <m/>
    <n v="3220"/>
    <n v="2898"/>
    <n v="3260.2499999999995"/>
  </r>
  <r>
    <x v="16"/>
    <x v="0"/>
    <x v="10"/>
    <x v="285"/>
    <x v="8"/>
    <x v="1"/>
    <n v="44.3"/>
    <n v="2.2999999999999998"/>
    <x v="1"/>
    <s v="DOMINIO"/>
    <x v="0"/>
    <m/>
    <m/>
    <n v="3232"/>
    <n v="2908.8"/>
    <n v="3272.4"/>
  </r>
  <r>
    <x v="16"/>
    <x v="0"/>
    <x v="10"/>
    <x v="533"/>
    <x v="8"/>
    <x v="1"/>
    <n v="44.3"/>
    <n v="2.2999999999999998"/>
    <x v="1"/>
    <s v="DOMINIO"/>
    <x v="0"/>
    <m/>
    <m/>
    <n v="3232"/>
    <n v="2908.8"/>
    <n v="3272.4"/>
  </r>
  <r>
    <x v="16"/>
    <x v="0"/>
    <x v="10"/>
    <x v="12"/>
    <x v="8"/>
    <x v="1"/>
    <n v="44.3"/>
    <n v="2.2999999999999998"/>
    <x v="1"/>
    <s v="DOMINIO"/>
    <x v="0"/>
    <m/>
    <m/>
    <n v="3232"/>
    <n v="2908.8"/>
    <n v="3272.4"/>
  </r>
  <r>
    <x v="16"/>
    <x v="0"/>
    <x v="10"/>
    <x v="14"/>
    <x v="9"/>
    <x v="1"/>
    <n v="44.29"/>
    <n v="2.2999999999999998"/>
    <x v="1"/>
    <s v="DOMINIO"/>
    <x v="0"/>
    <m/>
    <m/>
    <n v="3243"/>
    <n v="2918.7000000000003"/>
    <n v="3283.5375000000004"/>
  </r>
  <r>
    <x v="16"/>
    <x v="0"/>
    <x v="10"/>
    <x v="391"/>
    <x v="9"/>
    <x v="1"/>
    <n v="44.3"/>
    <n v="2.2999999999999998"/>
    <x v="1"/>
    <s v="DOMINIO"/>
    <x v="0"/>
    <m/>
    <m/>
    <n v="3243"/>
    <n v="2918.7000000000003"/>
    <n v="3283.5375000000004"/>
  </r>
  <r>
    <x v="16"/>
    <x v="0"/>
    <x v="10"/>
    <x v="329"/>
    <x v="9"/>
    <x v="15"/>
    <n v="44.29"/>
    <n v="2.2999999999999998"/>
    <x v="1"/>
    <s v="DOMINIO"/>
    <x v="0"/>
    <m/>
    <m/>
    <n v="3243"/>
    <n v="2918.7000000000003"/>
    <n v="3283.5375000000004"/>
  </r>
  <r>
    <x v="16"/>
    <x v="0"/>
    <x v="10"/>
    <x v="15"/>
    <x v="9"/>
    <x v="1"/>
    <n v="44.3"/>
    <n v="2.2999999999999998"/>
    <x v="1"/>
    <s v="DOMINIO"/>
    <x v="0"/>
    <m/>
    <m/>
    <n v="3243"/>
    <n v="2918.7000000000003"/>
    <n v="3283.5375000000004"/>
  </r>
  <r>
    <x v="16"/>
    <x v="0"/>
    <x v="10"/>
    <x v="17"/>
    <x v="5"/>
    <x v="1"/>
    <n v="44.29"/>
    <n v="2.2999999999999998"/>
    <x v="1"/>
    <s v="DOMINIO"/>
    <x v="0"/>
    <m/>
    <m/>
    <n v="3255"/>
    <n v="2929.5"/>
    <n v="3295.6875"/>
  </r>
  <r>
    <x v="16"/>
    <x v="0"/>
    <x v="10"/>
    <x v="6"/>
    <x v="5"/>
    <x v="1"/>
    <n v="44.3"/>
    <n v="2.2999999999999998"/>
    <x v="1"/>
    <s v="DOMINIO"/>
    <x v="0"/>
    <m/>
    <m/>
    <n v="3255"/>
    <n v="2929.5"/>
    <n v="3295.6875"/>
  </r>
  <r>
    <x v="16"/>
    <x v="0"/>
    <x v="10"/>
    <x v="18"/>
    <x v="5"/>
    <x v="1"/>
    <n v="44.29"/>
    <n v="2.2999999999999998"/>
    <x v="1"/>
    <s v="DOMINIO"/>
    <x v="0"/>
    <m/>
    <m/>
    <n v="3255"/>
    <n v="2929.5"/>
    <n v="3295.6875"/>
  </r>
  <r>
    <x v="16"/>
    <x v="0"/>
    <x v="10"/>
    <x v="19"/>
    <x v="5"/>
    <x v="1"/>
    <n v="44.3"/>
    <n v="2.2999999999999998"/>
    <x v="1"/>
    <s v="DOMINIO"/>
    <x v="0"/>
    <m/>
    <m/>
    <n v="3255"/>
    <n v="2929.5"/>
    <n v="3295.6875"/>
  </r>
  <r>
    <x v="16"/>
    <x v="0"/>
    <x v="10"/>
    <x v="21"/>
    <x v="10"/>
    <x v="1"/>
    <n v="44.29"/>
    <n v="2.2999999999999998"/>
    <x v="1"/>
    <s v="DOMINIO"/>
    <x v="0"/>
    <m/>
    <m/>
    <n v="3266"/>
    <n v="2939.4"/>
    <n v="3306.8249999999998"/>
  </r>
  <r>
    <x v="16"/>
    <x v="0"/>
    <x v="10"/>
    <x v="288"/>
    <x v="10"/>
    <x v="1"/>
    <n v="44.3"/>
    <n v="2.2999999999999998"/>
    <x v="1"/>
    <s v="DOMINIO"/>
    <x v="0"/>
    <m/>
    <m/>
    <n v="3266"/>
    <n v="2939.4"/>
    <n v="3306.8249999999998"/>
  </r>
  <r>
    <x v="16"/>
    <x v="0"/>
    <x v="10"/>
    <x v="393"/>
    <x v="10"/>
    <x v="1"/>
    <n v="44.3"/>
    <n v="2.2999999999999998"/>
    <x v="1"/>
    <s v="DOMINIO"/>
    <x v="0"/>
    <m/>
    <m/>
    <n v="3266"/>
    <n v="2939.4"/>
    <n v="3306.8249999999998"/>
  </r>
  <r>
    <x v="16"/>
    <x v="0"/>
    <x v="10"/>
    <x v="23"/>
    <x v="10"/>
    <x v="1"/>
    <n v="44.3"/>
    <n v="2.2999999999999998"/>
    <x v="1"/>
    <s v="DOMINIO"/>
    <x v="0"/>
    <m/>
    <m/>
    <n v="3266"/>
    <n v="2939.4"/>
    <n v="3306.8249999999998"/>
  </r>
  <r>
    <x v="16"/>
    <x v="0"/>
    <x v="10"/>
    <x v="289"/>
    <x v="11"/>
    <x v="1"/>
    <n v="44.3"/>
    <n v="2.2999999999999998"/>
    <x v="1"/>
    <s v="DOMINIO"/>
    <x v="0"/>
    <m/>
    <m/>
    <n v="3278"/>
    <n v="2950.2000000000003"/>
    <n v="3318.9750000000004"/>
  </r>
  <r>
    <x v="16"/>
    <x v="0"/>
    <x v="10"/>
    <x v="395"/>
    <x v="11"/>
    <x v="1"/>
    <n v="44.3"/>
    <n v="2.2999999999999998"/>
    <x v="1"/>
    <s v="DOMINIO"/>
    <x v="0"/>
    <m/>
    <m/>
    <n v="3278"/>
    <n v="2950.2000000000003"/>
    <n v="3318.9750000000004"/>
  </r>
  <r>
    <x v="16"/>
    <x v="0"/>
    <x v="10"/>
    <x v="27"/>
    <x v="11"/>
    <x v="1"/>
    <n v="44.29"/>
    <n v="2.2999999999999998"/>
    <x v="1"/>
    <s v="DOMINIO"/>
    <x v="0"/>
    <m/>
    <m/>
    <n v="3278"/>
    <n v="2950.2000000000003"/>
    <n v="3318.9750000000004"/>
  </r>
  <r>
    <x v="16"/>
    <x v="0"/>
    <x v="10"/>
    <x v="28"/>
    <x v="11"/>
    <x v="1"/>
    <n v="44.3"/>
    <n v="2.2999999999999998"/>
    <x v="1"/>
    <s v="DOMINIO"/>
    <x v="0"/>
    <m/>
    <m/>
    <n v="3278"/>
    <n v="2950.2000000000003"/>
    <n v="3318.9750000000004"/>
  </r>
  <r>
    <x v="16"/>
    <x v="0"/>
    <x v="10"/>
    <x v="400"/>
    <x v="12"/>
    <x v="1"/>
    <n v="44.46"/>
    <n v="2.34"/>
    <x v="1"/>
    <s v="DOMINIO"/>
    <x v="0"/>
    <m/>
    <m/>
    <n v="3289"/>
    <n v="2960.1"/>
    <n v="3330.1125000000002"/>
  </r>
  <r>
    <x v="16"/>
    <x v="0"/>
    <x v="10"/>
    <x v="536"/>
    <x v="12"/>
    <x v="1"/>
    <n v="44.46"/>
    <n v="2.34"/>
    <x v="1"/>
    <s v="DOMINIO"/>
    <x v="0"/>
    <m/>
    <m/>
    <n v="3289"/>
    <n v="2960.1"/>
    <n v="3330.1125000000002"/>
  </r>
  <r>
    <x v="16"/>
    <x v="0"/>
    <x v="10"/>
    <x v="558"/>
    <x v="12"/>
    <x v="1"/>
    <n v="44.46"/>
    <n v="2.34"/>
    <x v="1"/>
    <s v="DOMINIO"/>
    <x v="0"/>
    <m/>
    <m/>
    <n v="3289"/>
    <n v="2960.1"/>
    <n v="3330.1125000000002"/>
  </r>
  <r>
    <x v="16"/>
    <x v="0"/>
    <x v="10"/>
    <x v="31"/>
    <x v="12"/>
    <x v="1"/>
    <n v="44.46"/>
    <n v="2.34"/>
    <x v="1"/>
    <s v="DOMINIO"/>
    <x v="0"/>
    <m/>
    <m/>
    <n v="3289"/>
    <n v="2960.1"/>
    <n v="3330.1125000000002"/>
  </r>
  <r>
    <x v="16"/>
    <x v="0"/>
    <x v="10"/>
    <x v="32"/>
    <x v="12"/>
    <x v="1"/>
    <n v="44.46"/>
    <n v="2.34"/>
    <x v="1"/>
    <s v="DOMINIO"/>
    <x v="0"/>
    <m/>
    <m/>
    <n v="3289"/>
    <n v="2960.1"/>
    <n v="3330.1125000000002"/>
  </r>
  <r>
    <x v="16"/>
    <x v="0"/>
    <x v="10"/>
    <x v="35"/>
    <x v="13"/>
    <x v="1"/>
    <n v="44.46"/>
    <n v="2.34"/>
    <x v="1"/>
    <s v="DOMINIO"/>
    <x v="0"/>
    <m/>
    <m/>
    <n v="3301"/>
    <n v="2970.9"/>
    <n v="3342.2624999999998"/>
  </r>
  <r>
    <x v="16"/>
    <x v="0"/>
    <x v="10"/>
    <x v="563"/>
    <x v="13"/>
    <x v="1"/>
    <n v="44.46"/>
    <n v="2.34"/>
    <x v="1"/>
    <s v="DOMINIO"/>
    <x v="0"/>
    <m/>
    <m/>
    <n v="3301"/>
    <n v="2970.9"/>
    <n v="3342.2624999999998"/>
  </r>
  <r>
    <x v="16"/>
    <x v="0"/>
    <x v="10"/>
    <x v="36"/>
    <x v="13"/>
    <x v="1"/>
    <n v="44.46"/>
    <n v="2.34"/>
    <x v="1"/>
    <s v="DOMINIO"/>
    <x v="0"/>
    <m/>
    <m/>
    <n v="3301"/>
    <n v="2970.9"/>
    <n v="3342.2624999999998"/>
  </r>
  <r>
    <x v="16"/>
    <x v="0"/>
    <x v="10"/>
    <x v="37"/>
    <x v="13"/>
    <x v="1"/>
    <n v="44.46"/>
    <n v="2.34"/>
    <x v="1"/>
    <s v="DOMINIO"/>
    <x v="0"/>
    <m/>
    <m/>
    <n v="3301"/>
    <n v="2970.9"/>
    <n v="3342.2624999999998"/>
  </r>
  <r>
    <x v="16"/>
    <x v="0"/>
    <x v="10"/>
    <x v="40"/>
    <x v="14"/>
    <x v="1"/>
    <n v="44.46"/>
    <n v="2.34"/>
    <x v="1"/>
    <s v="DOMINIO"/>
    <x v="0"/>
    <m/>
    <m/>
    <n v="3312"/>
    <n v="2980.8"/>
    <n v="3353.4"/>
  </r>
  <r>
    <x v="16"/>
    <x v="0"/>
    <x v="10"/>
    <x v="539"/>
    <x v="14"/>
    <x v="1"/>
    <n v="44.46"/>
    <n v="2.34"/>
    <x v="1"/>
    <s v="DOMINIO"/>
    <x v="0"/>
    <m/>
    <m/>
    <n v="3312"/>
    <n v="2980.8"/>
    <n v="3353.4"/>
  </r>
  <r>
    <x v="16"/>
    <x v="0"/>
    <x v="10"/>
    <x v="570"/>
    <x v="14"/>
    <x v="1"/>
    <n v="44.46"/>
    <n v="2.34"/>
    <x v="1"/>
    <s v="DOMINIO"/>
    <x v="0"/>
    <m/>
    <m/>
    <n v="3312"/>
    <n v="2980.8"/>
    <n v="3353.4"/>
  </r>
  <r>
    <x v="16"/>
    <x v="0"/>
    <x v="10"/>
    <x v="41"/>
    <x v="14"/>
    <x v="1"/>
    <n v="44.46"/>
    <n v="2.34"/>
    <x v="1"/>
    <s v="DOMINIO"/>
    <x v="0"/>
    <m/>
    <m/>
    <n v="3312"/>
    <n v="2980.8"/>
    <n v="3353.4"/>
  </r>
  <r>
    <x v="16"/>
    <x v="0"/>
    <x v="10"/>
    <x v="42"/>
    <x v="14"/>
    <x v="1"/>
    <n v="44.46"/>
    <n v="2.34"/>
    <x v="1"/>
    <s v="DOMINIO"/>
    <x v="0"/>
    <m/>
    <m/>
    <n v="3312"/>
    <n v="2980.8"/>
    <n v="3353.4"/>
  </r>
  <r>
    <x v="16"/>
    <x v="0"/>
    <x v="10"/>
    <x v="675"/>
    <x v="15"/>
    <x v="1"/>
    <n v="44.46"/>
    <n v="2.34"/>
    <x v="1"/>
    <s v="DOMINIO"/>
    <x v="0"/>
    <m/>
    <m/>
    <n v="3324"/>
    <n v="2991.6"/>
    <n v="3365.5499999999997"/>
  </r>
  <r>
    <x v="16"/>
    <x v="0"/>
    <x v="10"/>
    <x v="242"/>
    <x v="15"/>
    <x v="1"/>
    <n v="44.46"/>
    <n v="2.34"/>
    <x v="1"/>
    <s v="DOMINIO"/>
    <x v="0"/>
    <m/>
    <m/>
    <n v="3324"/>
    <n v="2991.6"/>
    <n v="3365.5499999999997"/>
  </r>
  <r>
    <x v="16"/>
    <x v="0"/>
    <x v="10"/>
    <x v="46"/>
    <x v="15"/>
    <x v="1"/>
    <n v="44.46"/>
    <n v="2.34"/>
    <x v="1"/>
    <s v="DOMINIO"/>
    <x v="0"/>
    <m/>
    <m/>
    <n v="3324"/>
    <n v="2991.6"/>
    <n v="3365.5499999999997"/>
  </r>
  <r>
    <x v="16"/>
    <x v="0"/>
    <x v="10"/>
    <x v="47"/>
    <x v="15"/>
    <x v="1"/>
    <n v="44.46"/>
    <n v="2.34"/>
    <x v="1"/>
    <s v="DOMINIO"/>
    <x v="0"/>
    <m/>
    <m/>
    <n v="3324"/>
    <n v="2991.6"/>
    <n v="3365.5499999999997"/>
  </r>
  <r>
    <x v="16"/>
    <x v="0"/>
    <x v="10"/>
    <x v="678"/>
    <x v="16"/>
    <x v="1"/>
    <n v="45.03"/>
    <n v="2.34"/>
    <x v="1"/>
    <s v="DOMINIO"/>
    <x v="0"/>
    <m/>
    <m/>
    <n v="3335"/>
    <n v="3001.5"/>
    <n v="3376.6874999999995"/>
  </r>
  <r>
    <x v="16"/>
    <x v="0"/>
    <x v="4"/>
    <x v="373"/>
    <x v="0"/>
    <x v="1"/>
    <n v="44.35"/>
    <n v="2.27"/>
    <x v="2"/>
    <s v="DOMINIO"/>
    <x v="0"/>
    <m/>
    <m/>
    <n v="2595"/>
    <n v="2335.5"/>
    <n v="2627.4374999999995"/>
  </r>
  <r>
    <x v="16"/>
    <x v="0"/>
    <x v="4"/>
    <x v="302"/>
    <x v="0"/>
    <x v="1"/>
    <n v="44.35"/>
    <n v="2.27"/>
    <x v="2"/>
    <s v="DOMINIO"/>
    <x v="0"/>
    <m/>
    <m/>
    <n v="2595"/>
    <n v="2335.5"/>
    <n v="2627.4374999999995"/>
  </r>
  <r>
    <x v="16"/>
    <x v="0"/>
    <x v="4"/>
    <x v="9"/>
    <x v="4"/>
    <x v="1"/>
    <n v="44.35"/>
    <n v="2.27"/>
    <x v="2"/>
    <s v="DOMINIO"/>
    <x v="0"/>
    <m/>
    <m/>
    <n v="2606"/>
    <n v="2345.4"/>
    <n v="2638.5749999999998"/>
  </r>
  <r>
    <x v="16"/>
    <x v="0"/>
    <x v="4"/>
    <x v="309"/>
    <x v="4"/>
    <x v="1"/>
    <n v="44.35"/>
    <n v="2.27"/>
    <x v="2"/>
    <s v="DOMINIO"/>
    <x v="0"/>
    <m/>
    <m/>
    <n v="2606"/>
    <n v="2345.4"/>
    <n v="2638.5749999999998"/>
  </r>
  <r>
    <x v="16"/>
    <x v="0"/>
    <x v="4"/>
    <x v="316"/>
    <x v="7"/>
    <x v="1"/>
    <n v="44.51"/>
    <n v="2.3199999999999998"/>
    <x v="2"/>
    <s v="DOMINIO"/>
    <x v="0"/>
    <m/>
    <m/>
    <n v="2618"/>
    <n v="2356.2000000000003"/>
    <n v="2650.7250000000004"/>
  </r>
  <r>
    <x v="16"/>
    <x v="0"/>
    <x v="4"/>
    <x v="408"/>
    <x v="8"/>
    <x v="1"/>
    <n v="44.51"/>
    <n v="2.31"/>
    <x v="2"/>
    <s v="DOMINIO"/>
    <x v="0"/>
    <m/>
    <m/>
    <n v="2629"/>
    <n v="2366.1"/>
    <n v="2661.8624999999997"/>
  </r>
  <r>
    <x v="16"/>
    <x v="0"/>
    <x v="4"/>
    <x v="324"/>
    <x v="8"/>
    <x v="1"/>
    <n v="44.51"/>
    <n v="2.3199999999999998"/>
    <x v="2"/>
    <s v="DOMINIO"/>
    <x v="0"/>
    <m/>
    <m/>
    <n v="2629"/>
    <n v="2366.1"/>
    <n v="2661.8624999999997"/>
  </r>
  <r>
    <x v="16"/>
    <x v="0"/>
    <x v="4"/>
    <x v="381"/>
    <x v="9"/>
    <x v="1"/>
    <n v="44.51"/>
    <n v="2.31"/>
    <x v="2"/>
    <s v="DOMINIO"/>
    <x v="0"/>
    <m/>
    <m/>
    <n v="2641"/>
    <n v="2376.9"/>
    <n v="2674.0124999999998"/>
  </r>
  <r>
    <x v="16"/>
    <x v="0"/>
    <x v="4"/>
    <x v="332"/>
    <x v="9"/>
    <x v="1"/>
    <n v="44.51"/>
    <n v="2.3199999999999998"/>
    <x v="2"/>
    <s v="DOMINIO"/>
    <x v="0"/>
    <m/>
    <m/>
    <n v="2641"/>
    <n v="2376.9"/>
    <n v="2674.0124999999998"/>
  </r>
  <r>
    <x v="16"/>
    <x v="0"/>
    <x v="4"/>
    <x v="383"/>
    <x v="5"/>
    <x v="1"/>
    <n v="44.51"/>
    <n v="2.31"/>
    <x v="2"/>
    <s v="DOMINIO"/>
    <x v="0"/>
    <m/>
    <m/>
    <n v="2652"/>
    <n v="2386.8000000000002"/>
    <n v="2685.15"/>
  </r>
  <r>
    <x v="16"/>
    <x v="0"/>
    <x v="4"/>
    <x v="339"/>
    <x v="5"/>
    <x v="1"/>
    <n v="44.51"/>
    <n v="2.3199999999999998"/>
    <x v="2"/>
    <s v="DOMINIO"/>
    <x v="0"/>
    <m/>
    <m/>
    <n v="2652"/>
    <n v="2386.8000000000002"/>
    <n v="2685.15"/>
  </r>
  <r>
    <x v="16"/>
    <x v="0"/>
    <x v="4"/>
    <x v="385"/>
    <x v="10"/>
    <x v="1"/>
    <n v="44.51"/>
    <n v="2.31"/>
    <x v="2"/>
    <s v="DOMINIO"/>
    <x v="0"/>
    <m/>
    <m/>
    <n v="2664"/>
    <n v="2397.6"/>
    <n v="2697.3"/>
  </r>
  <r>
    <x v="16"/>
    <x v="0"/>
    <x v="4"/>
    <x v="343"/>
    <x v="10"/>
    <x v="1"/>
    <n v="44.51"/>
    <n v="2.3199999999999998"/>
    <x v="2"/>
    <s v="DOMINIO"/>
    <x v="0"/>
    <m/>
    <m/>
    <n v="2664"/>
    <n v="2397.6"/>
    <n v="2697.3"/>
  </r>
  <r>
    <x v="16"/>
    <x v="0"/>
    <x v="4"/>
    <x v="387"/>
    <x v="11"/>
    <x v="1"/>
    <n v="44.51"/>
    <n v="2.31"/>
    <x v="2"/>
    <s v="DOMINIO"/>
    <x v="0"/>
    <m/>
    <m/>
    <n v="2675"/>
    <n v="2407.5"/>
    <n v="2708.4375"/>
  </r>
  <r>
    <x v="16"/>
    <x v="0"/>
    <x v="4"/>
    <x v="349"/>
    <x v="11"/>
    <x v="1"/>
    <n v="44.51"/>
    <n v="2.3199999999999998"/>
    <x v="2"/>
    <s v="DOMINIO"/>
    <x v="0"/>
    <m/>
    <m/>
    <n v="2675"/>
    <n v="2407.5"/>
    <n v="2708.4375"/>
  </r>
  <r>
    <x v="16"/>
    <x v="0"/>
    <x v="4"/>
    <x v="405"/>
    <x v="12"/>
    <x v="1"/>
    <n v="44.67"/>
    <n v="2.36"/>
    <x v="2"/>
    <s v="DOMINIO"/>
    <x v="0"/>
    <m/>
    <m/>
    <n v="2687"/>
    <n v="2418.3000000000002"/>
    <n v="2720.5875000000001"/>
  </r>
  <r>
    <x v="16"/>
    <x v="0"/>
    <x v="4"/>
    <x v="617"/>
    <x v="12"/>
    <x v="1"/>
    <n v="44.67"/>
    <n v="2.36"/>
    <x v="2"/>
    <s v="DOMINIO"/>
    <x v="0"/>
    <m/>
    <m/>
    <n v="2687"/>
    <n v="2418.3000000000002"/>
    <n v="2720.5875000000001"/>
  </r>
  <r>
    <x v="16"/>
    <x v="0"/>
    <x v="4"/>
    <x v="230"/>
    <x v="13"/>
    <x v="1"/>
    <n v="44.67"/>
    <n v="2.36"/>
    <x v="2"/>
    <s v="DOMINIO"/>
    <x v="0"/>
    <m/>
    <m/>
    <n v="2698"/>
    <n v="2428.2000000000003"/>
    <n v="2731.7249999999999"/>
  </r>
  <r>
    <x v="16"/>
    <x v="0"/>
    <x v="4"/>
    <x v="231"/>
    <x v="13"/>
    <x v="1"/>
    <n v="44.67"/>
    <n v="2.36"/>
    <x v="2"/>
    <s v="DOMINIO"/>
    <x v="0"/>
    <m/>
    <m/>
    <n v="2698"/>
    <n v="2428.2000000000003"/>
    <n v="2731.7249999999999"/>
  </r>
  <r>
    <x v="16"/>
    <x v="0"/>
    <x v="4"/>
    <x v="545"/>
    <x v="14"/>
    <x v="1"/>
    <n v="44.67"/>
    <n v="2.36"/>
    <x v="2"/>
    <s v="DOMINIO"/>
    <x v="0"/>
    <m/>
    <m/>
    <n v="2710"/>
    <n v="2439"/>
    <n v="2743.8749999999995"/>
  </r>
  <r>
    <x v="16"/>
    <x v="0"/>
    <x v="4"/>
    <x v="232"/>
    <x v="14"/>
    <x v="1"/>
    <n v="44.67"/>
    <n v="2.36"/>
    <x v="2"/>
    <s v="DOMINIO"/>
    <x v="0"/>
    <m/>
    <m/>
    <n v="2710"/>
    <n v="2439"/>
    <n v="2743.8749999999995"/>
  </r>
  <r>
    <x v="16"/>
    <x v="0"/>
    <x v="4"/>
    <x v="234"/>
    <x v="15"/>
    <x v="1"/>
    <n v="44.67"/>
    <n v="2.36"/>
    <x v="2"/>
    <s v="DOMINIO"/>
    <x v="0"/>
    <m/>
    <m/>
    <n v="2721"/>
    <n v="2448.9"/>
    <n v="2755.0125000000003"/>
  </r>
  <r>
    <x v="16"/>
    <x v="0"/>
    <x v="4"/>
    <x v="235"/>
    <x v="15"/>
    <x v="1"/>
    <n v="44.67"/>
    <n v="2.36"/>
    <x v="2"/>
    <s v="DOMINIO"/>
    <x v="0"/>
    <m/>
    <m/>
    <n v="2721"/>
    <n v="2448.9"/>
    <n v="2755.0125000000003"/>
  </r>
  <r>
    <x v="16"/>
    <x v="0"/>
    <x v="5"/>
    <x v="406"/>
    <x v="3"/>
    <x v="1"/>
    <n v="48.8"/>
    <n v="2.27"/>
    <x v="1"/>
    <s v="DOMINIO"/>
    <x v="0"/>
    <m/>
    <m/>
    <n v="3071"/>
    <n v="2763.9"/>
    <n v="3109.3875000000003"/>
  </r>
  <r>
    <x v="16"/>
    <x v="0"/>
    <x v="5"/>
    <x v="298"/>
    <x v="0"/>
    <x v="1"/>
    <n v="48.8"/>
    <n v="2.27"/>
    <x v="1"/>
    <s v="DOMINIO"/>
    <x v="0"/>
    <m/>
    <m/>
    <n v="3082"/>
    <n v="2773.8"/>
    <n v="3120.5250000000001"/>
  </r>
  <r>
    <x v="16"/>
    <x v="0"/>
    <x v="5"/>
    <x v="328"/>
    <x v="9"/>
    <x v="1"/>
    <n v="49.02"/>
    <n v="2.34"/>
    <x v="1"/>
    <s v="DOMINIO"/>
    <x v="0"/>
    <m/>
    <m/>
    <n v="3128"/>
    <n v="2815.2000000000003"/>
    <n v="3167.1000000000004"/>
  </r>
  <r>
    <x v="16"/>
    <x v="0"/>
    <x v="5"/>
    <x v="336"/>
    <x v="5"/>
    <x v="15"/>
    <n v="49.02"/>
    <n v="2.34"/>
    <x v="1"/>
    <s v="DOMINIO"/>
    <x v="0"/>
    <m/>
    <m/>
    <n v="3140"/>
    <n v="2826"/>
    <n v="3179.25"/>
  </r>
  <r>
    <x v="16"/>
    <x v="0"/>
    <x v="5"/>
    <x v="403"/>
    <x v="12"/>
    <x v="1"/>
    <n v="49.23"/>
    <n v="2.4"/>
    <x v="1"/>
    <s v="DOMINIO"/>
    <x v="0"/>
    <m/>
    <m/>
    <n v="3174"/>
    <n v="2856.6"/>
    <n v="3213.6749999999997"/>
  </r>
  <r>
    <x v="16"/>
    <x v="0"/>
    <x v="5"/>
    <x v="541"/>
    <x v="13"/>
    <x v="1"/>
    <n v="49.23"/>
    <n v="2.4"/>
    <x v="1"/>
    <s v="DOMINIO"/>
    <x v="0"/>
    <m/>
    <m/>
    <n v="3186"/>
    <n v="2867.4"/>
    <n v="3225.8249999999998"/>
  </r>
  <r>
    <x v="16"/>
    <x v="0"/>
    <x v="5"/>
    <x v="543"/>
    <x v="14"/>
    <x v="1"/>
    <n v="49.23"/>
    <n v="2.4"/>
    <x v="1"/>
    <s v="DOMINIO"/>
    <x v="0"/>
    <m/>
    <m/>
    <n v="3197"/>
    <n v="2877.3"/>
    <n v="3236.9625000000001"/>
  </r>
  <r>
    <x v="16"/>
    <x v="0"/>
    <x v="5"/>
    <x v="665"/>
    <x v="15"/>
    <x v="1"/>
    <n v="49.23"/>
    <n v="2.4"/>
    <x v="1"/>
    <s v="DOMINIO"/>
    <x v="0"/>
    <m/>
    <m/>
    <n v="3109"/>
    <n v="2798.1"/>
    <n v="3147.8624999999997"/>
  </r>
  <r>
    <x v="16"/>
    <x v="1"/>
    <x v="6"/>
    <x v="103"/>
    <x v="6"/>
    <x v="1"/>
    <n v="16.420000000000002"/>
    <n v="0"/>
    <x v="4"/>
    <s v="DOMINIO"/>
    <x v="0"/>
    <s v="E - 70"/>
    <m/>
    <n v="246"/>
    <n v="246"/>
    <n v="276.75"/>
  </r>
  <r>
    <x v="16"/>
    <x v="1"/>
    <x v="6"/>
    <x v="104"/>
    <x v="6"/>
    <x v="1"/>
    <n v="13.97"/>
    <n v="0"/>
    <x v="4"/>
    <s v="DOMINIO"/>
    <x v="0"/>
    <s v="E - 68"/>
    <m/>
    <n v="209"/>
    <n v="209"/>
    <n v="235.12499999999997"/>
  </r>
  <r>
    <x v="16"/>
    <x v="1"/>
    <x v="6"/>
    <x v="105"/>
    <x v="6"/>
    <x v="1"/>
    <n v="15.03"/>
    <n v="0"/>
    <x v="4"/>
    <s v="DOMINIO"/>
    <x v="0"/>
    <s v="E - 66"/>
    <m/>
    <n v="225"/>
    <n v="225"/>
    <n v="253.125"/>
  </r>
  <r>
    <x v="16"/>
    <x v="1"/>
    <x v="6"/>
    <x v="106"/>
    <x v="6"/>
    <x v="1"/>
    <n v="8.6300000000000008"/>
    <n v="0"/>
    <x v="4"/>
    <s v="DOMINIO"/>
    <x v="0"/>
    <m/>
    <m/>
    <n v="130"/>
    <n v="130"/>
    <n v="146.25"/>
  </r>
  <r>
    <x v="16"/>
    <x v="1"/>
    <x v="6"/>
    <x v="107"/>
    <x v="6"/>
    <x v="1"/>
    <n v="4.8600000000000003"/>
    <n v="0"/>
    <x v="4"/>
    <s v="DOMINIO"/>
    <x v="0"/>
    <s v="E - 65"/>
    <m/>
    <n v="73"/>
    <n v="73"/>
    <n v="82.125"/>
  </r>
  <r>
    <x v="16"/>
    <x v="1"/>
    <x v="6"/>
    <x v="273"/>
    <x v="6"/>
    <x v="1"/>
    <n v="5.27"/>
    <n v="0"/>
    <x v="4"/>
    <s v="DOMINIO"/>
    <x v="0"/>
    <s v="E - 64"/>
    <m/>
    <n v="79"/>
    <n v="79"/>
    <n v="88.874999999999986"/>
  </r>
  <r>
    <x v="16"/>
    <x v="1"/>
    <x v="6"/>
    <x v="108"/>
    <x v="6"/>
    <x v="1"/>
    <n v="7.67"/>
    <n v="0"/>
    <x v="4"/>
    <s v="DOMINIO"/>
    <x v="0"/>
    <m/>
    <m/>
    <n v="115"/>
    <n v="115"/>
    <n v="129.375"/>
  </r>
  <r>
    <x v="16"/>
    <x v="1"/>
    <x v="6"/>
    <x v="109"/>
    <x v="6"/>
    <x v="1"/>
    <n v="5.62"/>
    <n v="0"/>
    <x v="4"/>
    <s v="DOMINIO"/>
    <x v="0"/>
    <s v="E - 63"/>
    <m/>
    <n v="85"/>
    <n v="85"/>
    <n v="95.625"/>
  </r>
  <r>
    <x v="16"/>
    <x v="1"/>
    <x v="6"/>
    <x v="165"/>
    <x v="6"/>
    <x v="1"/>
    <n v="4.18"/>
    <n v="0"/>
    <x v="4"/>
    <s v="DOMINIO"/>
    <x v="0"/>
    <s v="E - 62"/>
    <m/>
    <n v="63"/>
    <n v="63"/>
    <n v="70.875"/>
  </r>
  <r>
    <x v="16"/>
    <x v="1"/>
    <x v="6"/>
    <x v="274"/>
    <x v="6"/>
    <x v="1"/>
    <n v="4.21"/>
    <n v="0"/>
    <x v="4"/>
    <s v="DOMINIO"/>
    <x v="0"/>
    <s v="E - 61"/>
    <m/>
    <n v="64"/>
    <n v="64"/>
    <n v="72"/>
  </r>
  <r>
    <x v="16"/>
    <x v="1"/>
    <x v="6"/>
    <x v="110"/>
    <x v="6"/>
    <x v="1"/>
    <n v="3.7"/>
    <n v="0"/>
    <x v="4"/>
    <s v="DOMINIO"/>
    <x v="0"/>
    <s v="E - 60"/>
    <m/>
    <n v="56"/>
    <n v="56"/>
    <n v="62.999999999999993"/>
  </r>
  <r>
    <x v="16"/>
    <x v="1"/>
    <x v="6"/>
    <x v="111"/>
    <x v="6"/>
    <x v="1"/>
    <n v="3.86"/>
    <n v="0"/>
    <x v="4"/>
    <s v="DOMINIO"/>
    <x v="0"/>
    <s v="E - 59"/>
    <m/>
    <n v="57"/>
    <n v="57"/>
    <n v="64.124999999999986"/>
  </r>
  <r>
    <x v="16"/>
    <x v="1"/>
    <x v="6"/>
    <x v="112"/>
    <x v="6"/>
    <x v="1"/>
    <n v="3.86"/>
    <n v="0"/>
    <x v="4"/>
    <s v="DOMINIO"/>
    <x v="0"/>
    <s v="E - 58"/>
    <m/>
    <n v="57"/>
    <n v="57"/>
    <n v="64.124999999999986"/>
  </r>
  <r>
    <x v="16"/>
    <x v="1"/>
    <x v="6"/>
    <x v="113"/>
    <x v="6"/>
    <x v="1"/>
    <n v="3.64"/>
    <n v="0"/>
    <x v="4"/>
    <s v="DOMINIO"/>
    <x v="0"/>
    <s v="E - 57"/>
    <m/>
    <n v="55"/>
    <n v="55"/>
    <n v="61.875"/>
  </r>
  <r>
    <x v="16"/>
    <x v="1"/>
    <x v="6"/>
    <x v="114"/>
    <x v="6"/>
    <x v="1"/>
    <n v="3.82"/>
    <n v="0"/>
    <x v="4"/>
    <s v="DOMINIO"/>
    <x v="0"/>
    <s v="E - 56"/>
    <m/>
    <n v="57"/>
    <n v="57"/>
    <n v="64.124999999999986"/>
  </r>
  <r>
    <x v="16"/>
    <x v="1"/>
    <x v="6"/>
    <x v="115"/>
    <x v="6"/>
    <x v="1"/>
    <n v="4.62"/>
    <n v="0"/>
    <x v="4"/>
    <s v="DOMINIO"/>
    <x v="0"/>
    <s v="E - 55"/>
    <m/>
    <n v="69"/>
    <n v="69"/>
    <n v="77.625"/>
  </r>
  <r>
    <x v="16"/>
    <x v="1"/>
    <x v="6"/>
    <x v="116"/>
    <x v="6"/>
    <x v="1"/>
    <n v="5.18"/>
    <n v="0"/>
    <x v="4"/>
    <s v="DOMINIO"/>
    <x v="0"/>
    <s v="E - 54"/>
    <m/>
    <n v="77"/>
    <n v="77"/>
    <n v="86.624999999999986"/>
  </r>
  <r>
    <x v="16"/>
    <x v="1"/>
    <x v="6"/>
    <x v="117"/>
    <x v="6"/>
    <x v="1"/>
    <n v="7.67"/>
    <n v="0"/>
    <x v="4"/>
    <s v="DOMINIO"/>
    <x v="0"/>
    <m/>
    <m/>
    <n v="115"/>
    <n v="115"/>
    <n v="129.375"/>
  </r>
  <r>
    <x v="16"/>
    <x v="1"/>
    <x v="6"/>
    <x v="118"/>
    <x v="6"/>
    <x v="1"/>
    <n v="5.96"/>
    <n v="0"/>
    <x v="4"/>
    <s v="DOMINIO"/>
    <x v="0"/>
    <s v="E - 53"/>
    <m/>
    <n v="89"/>
    <n v="89"/>
    <n v="100.12499999999999"/>
  </r>
  <r>
    <x v="16"/>
    <x v="1"/>
    <x v="6"/>
    <x v="119"/>
    <x v="6"/>
    <x v="1"/>
    <n v="3.61"/>
    <n v="0"/>
    <x v="4"/>
    <s v="DOMINIO"/>
    <x v="0"/>
    <m/>
    <m/>
    <n v="54"/>
    <n v="54"/>
    <n v="60.75"/>
  </r>
  <r>
    <x v="16"/>
    <x v="1"/>
    <x v="6"/>
    <x v="120"/>
    <x v="6"/>
    <x v="1"/>
    <n v="3.61"/>
    <n v="0"/>
    <x v="4"/>
    <s v="DOMINIO"/>
    <x v="0"/>
    <m/>
    <m/>
    <n v="54"/>
    <n v="54"/>
    <n v="60.75"/>
  </r>
  <r>
    <x v="16"/>
    <x v="1"/>
    <x v="6"/>
    <x v="275"/>
    <x v="6"/>
    <x v="1"/>
    <n v="3.61"/>
    <n v="0"/>
    <x v="4"/>
    <s v="DOMINIO"/>
    <x v="0"/>
    <m/>
    <m/>
    <n v="54"/>
    <n v="54"/>
    <n v="60.75"/>
  </r>
  <r>
    <x v="16"/>
    <x v="1"/>
    <x v="6"/>
    <x v="121"/>
    <x v="6"/>
    <x v="1"/>
    <n v="3.61"/>
    <n v="0"/>
    <x v="4"/>
    <s v="DOMINIO"/>
    <x v="0"/>
    <m/>
    <m/>
    <n v="54"/>
    <n v="54"/>
    <n v="60.75"/>
  </r>
  <r>
    <x v="16"/>
    <x v="1"/>
    <x v="6"/>
    <x v="122"/>
    <x v="6"/>
    <x v="1"/>
    <n v="3.61"/>
    <n v="0"/>
    <x v="4"/>
    <s v="DOMINIO"/>
    <x v="0"/>
    <m/>
    <m/>
    <n v="54"/>
    <n v="54"/>
    <n v="60.75"/>
  </r>
  <r>
    <x v="16"/>
    <x v="1"/>
    <x v="6"/>
    <x v="123"/>
    <x v="6"/>
    <x v="1"/>
    <n v="6.35"/>
    <n v="0"/>
    <x v="4"/>
    <s v="DOMINIO"/>
    <x v="0"/>
    <m/>
    <m/>
    <n v="95"/>
    <n v="95"/>
    <n v="106.875"/>
  </r>
  <r>
    <x v="16"/>
    <x v="1"/>
    <x v="6"/>
    <x v="167"/>
    <x v="6"/>
    <x v="1"/>
    <n v="5.5"/>
    <n v="0"/>
    <x v="4"/>
    <s v="DOMINIO"/>
    <x v="0"/>
    <m/>
    <m/>
    <n v="82"/>
    <n v="82"/>
    <n v="92.249999999999986"/>
  </r>
  <r>
    <x v="16"/>
    <x v="1"/>
    <x v="6"/>
    <x v="124"/>
    <x v="6"/>
    <x v="1"/>
    <n v="5.86"/>
    <n v="0"/>
    <x v="4"/>
    <s v="DOMINIO"/>
    <x v="0"/>
    <m/>
    <m/>
    <n v="87"/>
    <n v="87"/>
    <n v="97.874999999999986"/>
  </r>
  <r>
    <x v="16"/>
    <x v="1"/>
    <x v="6"/>
    <x v="125"/>
    <x v="6"/>
    <x v="1"/>
    <n v="5.99"/>
    <n v="0"/>
    <x v="4"/>
    <s v="DOMINIO"/>
    <x v="0"/>
    <m/>
    <m/>
    <n v="89"/>
    <n v="89"/>
    <n v="100.12499999999999"/>
  </r>
  <r>
    <x v="16"/>
    <x v="1"/>
    <x v="6"/>
    <x v="126"/>
    <x v="3"/>
    <x v="1"/>
    <n v="4.3600000000000003"/>
    <n v="0"/>
    <x v="4"/>
    <s v="DOMINIO"/>
    <x v="0"/>
    <s v="E - 94"/>
    <m/>
    <n v="65"/>
    <n v="65"/>
    <n v="73.125"/>
  </r>
  <r>
    <x v="16"/>
    <x v="1"/>
    <x v="6"/>
    <x v="127"/>
    <x v="3"/>
    <x v="1"/>
    <n v="6.58"/>
    <n v="0"/>
    <x v="4"/>
    <s v="DOMINIO"/>
    <x v="0"/>
    <s v="E - 95"/>
    <m/>
    <n v="99"/>
    <n v="99"/>
    <n v="111.37499999999999"/>
  </r>
  <r>
    <x v="16"/>
    <x v="1"/>
    <x v="6"/>
    <x v="276"/>
    <x v="3"/>
    <x v="1"/>
    <n v="7.36"/>
    <n v="0"/>
    <x v="4"/>
    <s v="DOMINIO"/>
    <x v="0"/>
    <m/>
    <m/>
    <n v="110"/>
    <n v="110"/>
    <n v="123.75"/>
  </r>
  <r>
    <x v="16"/>
    <x v="1"/>
    <x v="6"/>
    <x v="129"/>
    <x v="3"/>
    <x v="1"/>
    <n v="6.77"/>
    <n v="0"/>
    <x v="4"/>
    <s v="DOMINIO"/>
    <x v="0"/>
    <s v="E - 96"/>
    <m/>
    <n v="101"/>
    <n v="101"/>
    <n v="113.625"/>
  </r>
  <r>
    <x v="16"/>
    <x v="1"/>
    <x v="6"/>
    <x v="130"/>
    <x v="3"/>
    <x v="1"/>
    <n v="4.3"/>
    <n v="0"/>
    <x v="4"/>
    <s v="DOMINIO"/>
    <x v="0"/>
    <s v="E - 97"/>
    <m/>
    <n v="64"/>
    <n v="64"/>
    <n v="72"/>
  </r>
  <r>
    <x v="16"/>
    <x v="1"/>
    <x v="6"/>
    <x v="131"/>
    <x v="3"/>
    <x v="1"/>
    <n v="4.3"/>
    <n v="0"/>
    <x v="4"/>
    <s v="DOMINIO"/>
    <x v="0"/>
    <s v="E - 98"/>
    <m/>
    <n v="64"/>
    <n v="64"/>
    <n v="72"/>
  </r>
  <r>
    <x v="16"/>
    <x v="1"/>
    <x v="6"/>
    <x v="132"/>
    <x v="3"/>
    <x v="1"/>
    <n v="4.1399999999999997"/>
    <n v="0"/>
    <x v="4"/>
    <s v="DOMINIO"/>
    <x v="0"/>
    <s v="E - 99"/>
    <m/>
    <n v="62"/>
    <n v="62"/>
    <n v="69.749999999999986"/>
  </r>
  <r>
    <x v="16"/>
    <x v="1"/>
    <x v="6"/>
    <x v="133"/>
    <x v="3"/>
    <x v="1"/>
    <n v="4.25"/>
    <n v="0"/>
    <x v="4"/>
    <s v="DOMINIO"/>
    <x v="0"/>
    <s v="E - 100"/>
    <m/>
    <n v="63"/>
    <n v="63"/>
    <n v="70.875"/>
  </r>
  <r>
    <x v="16"/>
    <x v="1"/>
    <x v="6"/>
    <x v="134"/>
    <x v="3"/>
    <x v="1"/>
    <n v="4.24"/>
    <n v="0"/>
    <x v="4"/>
    <s v="DOMINIO"/>
    <x v="0"/>
    <s v="E - 101"/>
    <m/>
    <n v="63"/>
    <n v="63"/>
    <n v="70.875"/>
  </r>
  <r>
    <x v="16"/>
    <x v="1"/>
    <x v="6"/>
    <x v="135"/>
    <x v="3"/>
    <x v="1"/>
    <n v="4.05"/>
    <n v="0"/>
    <x v="4"/>
    <s v="DOMINIO"/>
    <x v="0"/>
    <s v="E - 102"/>
    <m/>
    <n v="61"/>
    <n v="61"/>
    <n v="68.625"/>
  </r>
  <r>
    <x v="16"/>
    <x v="1"/>
    <x v="6"/>
    <x v="136"/>
    <x v="3"/>
    <x v="1"/>
    <n v="7.36"/>
    <n v="0"/>
    <x v="4"/>
    <s v="DOMINIO"/>
    <x v="0"/>
    <m/>
    <m/>
    <n v="110"/>
    <n v="110"/>
    <n v="123.75"/>
  </r>
  <r>
    <x v="16"/>
    <x v="1"/>
    <x v="6"/>
    <x v="137"/>
    <x v="3"/>
    <x v="1"/>
    <n v="6.36"/>
    <n v="0"/>
    <x v="4"/>
    <s v="DOMINIO"/>
    <x v="0"/>
    <s v="E - 103"/>
    <m/>
    <n v="95"/>
    <n v="95"/>
    <n v="106.875"/>
  </r>
  <r>
    <x v="16"/>
    <x v="1"/>
    <x v="6"/>
    <x v="138"/>
    <x v="3"/>
    <x v="1"/>
    <n v="4.71"/>
    <n v="0"/>
    <x v="4"/>
    <s v="DOMINIO"/>
    <x v="0"/>
    <s v="E - 104"/>
    <m/>
    <n v="70"/>
    <n v="70"/>
    <n v="78.75"/>
  </r>
  <r>
    <x v="16"/>
    <x v="1"/>
    <x v="6"/>
    <x v="139"/>
    <x v="3"/>
    <x v="1"/>
    <n v="4.5999999999999996"/>
    <n v="0"/>
    <x v="4"/>
    <s v="DOMINIO"/>
    <x v="0"/>
    <s v="E - 105"/>
    <m/>
    <n v="69"/>
    <n v="69"/>
    <n v="77.625"/>
  </r>
  <r>
    <x v="16"/>
    <x v="1"/>
    <x v="6"/>
    <x v="140"/>
    <x v="3"/>
    <x v="1"/>
    <n v="6.47"/>
    <n v="0"/>
    <x v="4"/>
    <s v="DOMINIO"/>
    <x v="0"/>
    <s v="E - 106"/>
    <m/>
    <n v="97"/>
    <n v="97"/>
    <n v="109.12499999999999"/>
  </r>
  <r>
    <x v="16"/>
    <x v="1"/>
    <x v="6"/>
    <x v="141"/>
    <x v="3"/>
    <x v="1"/>
    <n v="7.36"/>
    <n v="0"/>
    <x v="4"/>
    <s v="DOMINIO"/>
    <x v="0"/>
    <m/>
    <m/>
    <n v="110"/>
    <n v="110"/>
    <n v="123.75"/>
  </r>
  <r>
    <x v="16"/>
    <x v="1"/>
    <x v="6"/>
    <x v="142"/>
    <x v="3"/>
    <x v="1"/>
    <n v="5.9"/>
    <n v="0"/>
    <x v="4"/>
    <s v="DOMINIO"/>
    <x v="0"/>
    <s v="E - 107"/>
    <m/>
    <n v="88"/>
    <n v="88"/>
    <n v="99"/>
  </r>
  <r>
    <x v="16"/>
    <x v="1"/>
    <x v="6"/>
    <x v="143"/>
    <x v="3"/>
    <x v="1"/>
    <n v="5.5"/>
    <n v="0"/>
    <x v="4"/>
    <s v="DOMINIO"/>
    <x v="0"/>
    <s v="E - 108"/>
    <m/>
    <n v="82"/>
    <n v="82"/>
    <n v="92.249999999999986"/>
  </r>
  <r>
    <x v="16"/>
    <x v="1"/>
    <x v="6"/>
    <x v="144"/>
    <x v="3"/>
    <x v="1"/>
    <n v="8.2799999999999994"/>
    <n v="0"/>
    <x v="4"/>
    <s v="DOMINIO"/>
    <x v="0"/>
    <m/>
    <m/>
    <n v="124"/>
    <n v="124"/>
    <n v="139.49999999999997"/>
  </r>
  <r>
    <x v="16"/>
    <x v="1"/>
    <x v="6"/>
    <x v="146"/>
    <x v="3"/>
    <x v="1"/>
    <n v="2.93"/>
    <n v="0"/>
    <x v="4"/>
    <s v="DOMINIO"/>
    <x v="0"/>
    <m/>
    <m/>
    <n v="43"/>
    <n v="43"/>
    <n v="48.375"/>
  </r>
  <r>
    <x v="16"/>
    <x v="1"/>
    <x v="6"/>
    <x v="168"/>
    <x v="0"/>
    <x v="1"/>
    <n v="2.83"/>
    <n v="0"/>
    <x v="4"/>
    <s v="DOMINIO"/>
    <x v="0"/>
    <m/>
    <m/>
    <n v="42"/>
    <n v="42"/>
    <n v="47.249999999999993"/>
  </r>
  <r>
    <x v="16"/>
    <x v="1"/>
    <x v="6"/>
    <x v="397"/>
    <x v="0"/>
    <x v="1"/>
    <n v="2.93"/>
    <n v="0"/>
    <x v="4"/>
    <s v="DOMINIO"/>
    <x v="0"/>
    <m/>
    <m/>
    <n v="43"/>
    <n v="43"/>
    <n v="48.375"/>
  </r>
  <r>
    <x v="16"/>
    <x v="1"/>
    <x v="6"/>
    <x v="171"/>
    <x v="7"/>
    <x v="1"/>
    <n v="2.93"/>
    <n v="0"/>
    <x v="4"/>
    <s v="DOMINIO"/>
    <x v="0"/>
    <m/>
    <m/>
    <n v="43"/>
    <n v="43"/>
    <n v="48.375"/>
  </r>
  <r>
    <x v="16"/>
    <x v="1"/>
    <x v="6"/>
    <x v="172"/>
    <x v="8"/>
    <x v="1"/>
    <n v="2.93"/>
    <n v="0"/>
    <x v="4"/>
    <s v="DOMINIO"/>
    <x v="0"/>
    <m/>
    <m/>
    <n v="43"/>
    <n v="43"/>
    <n v="48.375"/>
  </r>
  <r>
    <x v="16"/>
    <x v="1"/>
    <x v="6"/>
    <x v="147"/>
    <x v="9"/>
    <x v="1"/>
    <n v="2.83"/>
    <n v="0"/>
    <x v="4"/>
    <s v="DOMINIO"/>
    <x v="0"/>
    <m/>
    <m/>
    <n v="42"/>
    <n v="42"/>
    <n v="47.249999999999993"/>
  </r>
  <r>
    <x v="16"/>
    <x v="1"/>
    <x v="6"/>
    <x v="173"/>
    <x v="9"/>
    <x v="1"/>
    <n v="2.93"/>
    <n v="0"/>
    <x v="4"/>
    <s v="DOMINIO"/>
    <x v="0"/>
    <m/>
    <m/>
    <n v="43"/>
    <n v="43"/>
    <n v="48.375"/>
  </r>
  <r>
    <x v="16"/>
    <x v="1"/>
    <x v="6"/>
    <x v="174"/>
    <x v="5"/>
    <x v="1"/>
    <n v="2.83"/>
    <n v="0"/>
    <x v="4"/>
    <s v="DOMINIO"/>
    <x v="0"/>
    <m/>
    <m/>
    <n v="42"/>
    <n v="42"/>
    <n v="47.249999999999993"/>
  </r>
  <r>
    <x v="16"/>
    <x v="1"/>
    <x v="6"/>
    <x v="148"/>
    <x v="5"/>
    <x v="1"/>
    <n v="2.93"/>
    <n v="0"/>
    <x v="4"/>
    <s v="DOMINIO"/>
    <x v="0"/>
    <m/>
    <m/>
    <n v="43"/>
    <n v="43"/>
    <n v="48.375"/>
  </r>
  <r>
    <x v="16"/>
    <x v="1"/>
    <x v="6"/>
    <x v="149"/>
    <x v="10"/>
    <x v="1"/>
    <n v="2.83"/>
    <n v="0"/>
    <x v="4"/>
    <s v="DOMINIO"/>
    <x v="0"/>
    <m/>
    <m/>
    <n v="42"/>
    <n v="42"/>
    <n v="47.249999999999993"/>
  </r>
  <r>
    <x v="16"/>
    <x v="1"/>
    <x v="6"/>
    <x v="175"/>
    <x v="10"/>
    <x v="1"/>
    <n v="2.93"/>
    <n v="0"/>
    <x v="4"/>
    <s v="DOMINIO"/>
    <x v="0"/>
    <m/>
    <m/>
    <n v="43"/>
    <n v="43"/>
    <n v="48.375"/>
  </r>
  <r>
    <x v="16"/>
    <x v="1"/>
    <x v="6"/>
    <x v="176"/>
    <x v="11"/>
    <x v="1"/>
    <n v="2.93"/>
    <n v="0"/>
    <x v="4"/>
    <s v="DOMINIO"/>
    <x v="0"/>
    <m/>
    <m/>
    <n v="43"/>
    <n v="43"/>
    <n v="48.375"/>
  </r>
  <r>
    <x v="16"/>
    <x v="1"/>
    <x v="6"/>
    <x v="151"/>
    <x v="12"/>
    <x v="1"/>
    <n v="2.81"/>
    <n v="0"/>
    <x v="4"/>
    <s v="DOMINIO"/>
    <x v="0"/>
    <m/>
    <m/>
    <n v="42"/>
    <n v="42"/>
    <n v="47.249999999999993"/>
  </r>
  <r>
    <x v="16"/>
    <x v="1"/>
    <x v="6"/>
    <x v="152"/>
    <x v="12"/>
    <x v="1"/>
    <n v="2.93"/>
    <n v="0"/>
    <x v="4"/>
    <s v="DOMINIO"/>
    <x v="0"/>
    <m/>
    <m/>
    <n v="43"/>
    <n v="43"/>
    <n v="48.375"/>
  </r>
  <r>
    <x v="16"/>
    <x v="1"/>
    <x v="6"/>
    <x v="153"/>
    <x v="13"/>
    <x v="1"/>
    <n v="2.81"/>
    <n v="0"/>
    <x v="4"/>
    <s v="DOMINIO"/>
    <x v="0"/>
    <m/>
    <m/>
    <n v="42"/>
    <n v="42"/>
    <n v="47.249999999999993"/>
  </r>
  <r>
    <x v="16"/>
    <x v="1"/>
    <x v="6"/>
    <x v="154"/>
    <x v="13"/>
    <x v="1"/>
    <n v="2.93"/>
    <n v="0"/>
    <x v="4"/>
    <s v="DOMINIO"/>
    <x v="0"/>
    <m/>
    <m/>
    <n v="43"/>
    <n v="43"/>
    <n v="48.375"/>
  </r>
  <r>
    <x v="16"/>
    <x v="1"/>
    <x v="6"/>
    <x v="155"/>
    <x v="14"/>
    <x v="1"/>
    <n v="2.81"/>
    <n v="0"/>
    <x v="4"/>
    <s v="DOMINIO"/>
    <x v="0"/>
    <m/>
    <m/>
    <n v="42"/>
    <n v="42"/>
    <n v="47.249999999999993"/>
  </r>
  <r>
    <x v="16"/>
    <x v="1"/>
    <x v="6"/>
    <x v="177"/>
    <x v="14"/>
    <x v="1"/>
    <n v="2.93"/>
    <n v="0"/>
    <x v="4"/>
    <s v="DOMINIO"/>
    <x v="0"/>
    <m/>
    <m/>
    <n v="43"/>
    <n v="43"/>
    <n v="48.375"/>
  </r>
  <r>
    <x v="16"/>
    <x v="1"/>
    <x v="6"/>
    <x v="156"/>
    <x v="15"/>
    <x v="1"/>
    <n v="2.81"/>
    <n v="0"/>
    <x v="4"/>
    <s v="DOMINIO"/>
    <x v="0"/>
    <m/>
    <m/>
    <n v="42"/>
    <n v="42"/>
    <n v="47.249999999999993"/>
  </r>
  <r>
    <x v="16"/>
    <x v="1"/>
    <x v="6"/>
    <x v="157"/>
    <x v="15"/>
    <x v="1"/>
    <n v="2.93"/>
    <n v="0"/>
    <x v="4"/>
    <s v="DOMINIO"/>
    <x v="0"/>
    <m/>
    <m/>
    <n v="43"/>
    <n v="43"/>
    <n v="48.375"/>
  </r>
  <r>
    <x v="16"/>
    <x v="2"/>
    <x v="7"/>
    <x v="103"/>
    <x v="6"/>
    <x v="1"/>
    <n v="12.5"/>
    <n v="0"/>
    <x v="4"/>
    <s v="DOMINIO"/>
    <x v="0"/>
    <m/>
    <m/>
    <n v="350"/>
    <n v="350"/>
    <n v="393.75"/>
  </r>
  <r>
    <x v="16"/>
    <x v="2"/>
    <x v="7"/>
    <x v="104"/>
    <x v="6"/>
    <x v="1"/>
    <n v="12.5"/>
    <n v="0"/>
    <x v="4"/>
    <s v="DOMINIO"/>
    <x v="0"/>
    <m/>
    <m/>
    <n v="350"/>
    <n v="350"/>
    <n v="393.75"/>
  </r>
  <r>
    <x v="16"/>
    <x v="2"/>
    <x v="7"/>
    <x v="106"/>
    <x v="6"/>
    <x v="1"/>
    <n v="12.5"/>
    <n v="0"/>
    <x v="4"/>
    <s v="DOMINIO"/>
    <x v="0"/>
    <m/>
    <m/>
    <n v="350"/>
    <n v="350"/>
    <n v="393.75"/>
  </r>
  <r>
    <x v="16"/>
    <x v="2"/>
    <x v="7"/>
    <x v="109"/>
    <x v="6"/>
    <x v="1"/>
    <n v="12.5"/>
    <n v="0"/>
    <x v="4"/>
    <s v="DOMINIO"/>
    <x v="0"/>
    <m/>
    <m/>
    <n v="350"/>
    <n v="350"/>
    <n v="393.75"/>
  </r>
  <r>
    <x v="16"/>
    <x v="2"/>
    <x v="7"/>
    <x v="274"/>
    <x v="6"/>
    <x v="1"/>
    <n v="12.5"/>
    <n v="0"/>
    <x v="9"/>
    <s v="USO Y GOCE"/>
    <x v="0"/>
    <m/>
    <m/>
    <n v="300"/>
    <n v="300"/>
    <n v="337.5"/>
  </r>
  <r>
    <x v="16"/>
    <x v="2"/>
    <x v="7"/>
    <x v="111"/>
    <x v="6"/>
    <x v="1"/>
    <n v="12.5"/>
    <n v="0"/>
    <x v="9"/>
    <s v="USO Y GOCE"/>
    <x v="0"/>
    <m/>
    <m/>
    <n v="300"/>
    <n v="300"/>
    <n v="337.5"/>
  </r>
  <r>
    <x v="16"/>
    <x v="2"/>
    <x v="7"/>
    <x v="113"/>
    <x v="6"/>
    <x v="1"/>
    <n v="12.5"/>
    <n v="0"/>
    <x v="9"/>
    <s v="USO Y GOCE"/>
    <x v="0"/>
    <m/>
    <m/>
    <n v="300"/>
    <n v="300"/>
    <n v="337.5"/>
  </r>
  <r>
    <x v="16"/>
    <x v="2"/>
    <x v="7"/>
    <x v="117"/>
    <x v="6"/>
    <x v="1"/>
    <n v="12.5"/>
    <n v="0"/>
    <x v="9"/>
    <s v="USO Y GOCE"/>
    <x v="0"/>
    <m/>
    <m/>
    <n v="300"/>
    <n v="300"/>
    <n v="337.5"/>
  </r>
  <r>
    <x v="16"/>
    <x v="2"/>
    <x v="7"/>
    <x v="166"/>
    <x v="6"/>
    <x v="1"/>
    <n v="12.5"/>
    <n v="0"/>
    <x v="9"/>
    <s v="USO Y GOCE"/>
    <x v="0"/>
    <m/>
    <m/>
    <n v="300"/>
    <n v="300"/>
    <n v="337.5"/>
  </r>
  <r>
    <x v="16"/>
    <x v="2"/>
    <x v="7"/>
    <x v="118"/>
    <x v="6"/>
    <x v="1"/>
    <n v="12.5"/>
    <n v="0"/>
    <x v="9"/>
    <s v="USO Y GOCE"/>
    <x v="0"/>
    <m/>
    <m/>
    <n v="300"/>
    <n v="300"/>
    <n v="337.5"/>
  </r>
  <r>
    <x v="16"/>
    <x v="2"/>
    <x v="7"/>
    <x v="275"/>
    <x v="6"/>
    <x v="1"/>
    <n v="12.5"/>
    <n v="0"/>
    <x v="9"/>
    <s v="USO Y GOCE"/>
    <x v="0"/>
    <m/>
    <m/>
    <n v="300"/>
    <n v="300"/>
    <n v="337.5"/>
  </r>
  <r>
    <x v="16"/>
    <x v="2"/>
    <x v="7"/>
    <x v="121"/>
    <x v="6"/>
    <x v="1"/>
    <n v="12.5"/>
    <n v="0"/>
    <x v="9"/>
    <s v="USO Y GOCE"/>
    <x v="0"/>
    <m/>
    <m/>
    <n v="300"/>
    <n v="300"/>
    <n v="337.5"/>
  </r>
  <r>
    <x v="16"/>
    <x v="2"/>
    <x v="7"/>
    <x v="122"/>
    <x v="6"/>
    <x v="1"/>
    <n v="12.5"/>
    <n v="0"/>
    <x v="9"/>
    <s v="USO Y GOCE"/>
    <x v="0"/>
    <m/>
    <m/>
    <n v="300"/>
    <n v="300"/>
    <n v="337.5"/>
  </r>
  <r>
    <x v="16"/>
    <x v="2"/>
    <x v="7"/>
    <x v="123"/>
    <x v="6"/>
    <x v="1"/>
    <n v="12.5"/>
    <n v="0"/>
    <x v="9"/>
    <s v="USO Y GOCE"/>
    <x v="0"/>
    <m/>
    <m/>
    <n v="300"/>
    <n v="300"/>
    <n v="337.5"/>
  </r>
  <r>
    <x v="16"/>
    <x v="2"/>
    <x v="7"/>
    <x v="167"/>
    <x v="6"/>
    <x v="1"/>
    <n v="12.5"/>
    <n v="0"/>
    <x v="9"/>
    <s v="USO Y GOCE"/>
    <x v="0"/>
    <m/>
    <m/>
    <n v="300"/>
    <n v="300"/>
    <n v="337.5"/>
  </r>
  <r>
    <x v="16"/>
    <x v="2"/>
    <x v="7"/>
    <x v="125"/>
    <x v="6"/>
    <x v="1"/>
    <n v="12.5"/>
    <n v="0"/>
    <x v="9"/>
    <s v="USO Y GOCE"/>
    <x v="0"/>
    <m/>
    <m/>
    <n v="300"/>
    <n v="300"/>
    <n v="337.5"/>
  </r>
  <r>
    <x v="16"/>
    <x v="2"/>
    <x v="7"/>
    <x v="126"/>
    <x v="6"/>
    <x v="1"/>
    <n v="12.5"/>
    <n v="0"/>
    <x v="9"/>
    <s v="USO Y GOCE"/>
    <x v="0"/>
    <m/>
    <m/>
    <n v="300"/>
    <n v="300"/>
    <n v="337.5"/>
  </r>
  <r>
    <x v="16"/>
    <x v="2"/>
    <x v="7"/>
    <x v="127"/>
    <x v="6"/>
    <x v="1"/>
    <n v="12.5"/>
    <n v="0"/>
    <x v="9"/>
    <s v="USO Y GOCE"/>
    <x v="0"/>
    <m/>
    <m/>
    <n v="300"/>
    <n v="300"/>
    <n v="337.5"/>
  </r>
  <r>
    <x v="16"/>
    <x v="2"/>
    <x v="7"/>
    <x v="276"/>
    <x v="6"/>
    <x v="1"/>
    <n v="12.5"/>
    <n v="0"/>
    <x v="9"/>
    <s v="USO Y GOCE"/>
    <x v="0"/>
    <m/>
    <m/>
    <n v="300"/>
    <n v="300"/>
    <n v="337.5"/>
  </r>
  <r>
    <x v="16"/>
    <x v="2"/>
    <x v="7"/>
    <x v="130"/>
    <x v="6"/>
    <x v="1"/>
    <n v="12.5"/>
    <n v="0"/>
    <x v="4"/>
    <s v="DOMINIO"/>
    <x v="0"/>
    <m/>
    <m/>
    <n v="350"/>
    <n v="350"/>
    <n v="393.75"/>
  </r>
  <r>
    <x v="16"/>
    <x v="2"/>
    <x v="7"/>
    <x v="131"/>
    <x v="6"/>
    <x v="1"/>
    <n v="12.5"/>
    <n v="0"/>
    <x v="4"/>
    <s v="DOMINIO"/>
    <x v="0"/>
    <m/>
    <m/>
    <n v="350"/>
    <n v="350"/>
    <n v="393.75"/>
  </r>
  <r>
    <x v="16"/>
    <x v="2"/>
    <x v="7"/>
    <x v="132"/>
    <x v="6"/>
    <x v="1"/>
    <n v="12.5"/>
    <n v="0"/>
    <x v="4"/>
    <s v="DOMINIO"/>
    <x v="0"/>
    <m/>
    <m/>
    <n v="350"/>
    <n v="350"/>
    <n v="393.75"/>
  </r>
  <r>
    <x v="16"/>
    <x v="2"/>
    <x v="7"/>
    <x v="133"/>
    <x v="6"/>
    <x v="1"/>
    <n v="12.5"/>
    <n v="0"/>
    <x v="4"/>
    <s v="DOMINIO"/>
    <x v="0"/>
    <m/>
    <m/>
    <n v="350"/>
    <n v="350"/>
    <n v="393.75"/>
  </r>
  <r>
    <x v="16"/>
    <x v="2"/>
    <x v="7"/>
    <x v="134"/>
    <x v="6"/>
    <x v="1"/>
    <n v="12.5"/>
    <n v="0"/>
    <x v="4"/>
    <s v="DOMINIO"/>
    <x v="0"/>
    <m/>
    <m/>
    <n v="350"/>
    <n v="350"/>
    <n v="393.75"/>
  </r>
  <r>
    <x v="16"/>
    <x v="2"/>
    <x v="7"/>
    <x v="136"/>
    <x v="6"/>
    <x v="1"/>
    <n v="12.5"/>
    <n v="0"/>
    <x v="4"/>
    <s v="DOMINIO"/>
    <x v="0"/>
    <m/>
    <m/>
    <n v="350"/>
    <n v="350"/>
    <n v="393.75"/>
  </r>
  <r>
    <x v="16"/>
    <x v="2"/>
    <x v="7"/>
    <x v="137"/>
    <x v="6"/>
    <x v="1"/>
    <n v="12.5"/>
    <n v="0"/>
    <x v="4"/>
    <s v="DOMINIO"/>
    <x v="0"/>
    <m/>
    <m/>
    <n v="350"/>
    <n v="350"/>
    <n v="393.75"/>
  </r>
  <r>
    <x v="16"/>
    <x v="2"/>
    <x v="7"/>
    <x v="139"/>
    <x v="6"/>
    <x v="1"/>
    <n v="12.5"/>
    <n v="0"/>
    <x v="4"/>
    <s v="DOMINIO"/>
    <x v="0"/>
    <m/>
    <m/>
    <n v="350"/>
    <n v="350"/>
    <n v="393.75"/>
  </r>
  <r>
    <x v="16"/>
    <x v="2"/>
    <x v="7"/>
    <x v="140"/>
    <x v="6"/>
    <x v="1"/>
    <n v="12.5"/>
    <n v="0"/>
    <x v="4"/>
    <s v="DOMINIO"/>
    <x v="0"/>
    <m/>
    <m/>
    <n v="350"/>
    <n v="350"/>
    <n v="393.75"/>
  </r>
  <r>
    <x v="16"/>
    <x v="2"/>
    <x v="7"/>
    <x v="141"/>
    <x v="6"/>
    <x v="1"/>
    <n v="12.5"/>
    <n v="0"/>
    <x v="4"/>
    <s v="DOMINIO"/>
    <x v="0"/>
    <m/>
    <m/>
    <n v="350"/>
    <n v="350"/>
    <n v="393.75"/>
  </r>
  <r>
    <x v="16"/>
    <x v="2"/>
    <x v="7"/>
    <x v="142"/>
    <x v="6"/>
    <x v="1"/>
    <n v="12.5"/>
    <n v="0"/>
    <x v="4"/>
    <s v="DOMINIO"/>
    <x v="0"/>
    <m/>
    <m/>
    <n v="350"/>
    <n v="350"/>
    <n v="393.75"/>
  </r>
  <r>
    <x v="16"/>
    <x v="2"/>
    <x v="7"/>
    <x v="143"/>
    <x v="6"/>
    <x v="1"/>
    <n v="12.5"/>
    <n v="0"/>
    <x v="4"/>
    <s v="DOMINIO"/>
    <x v="0"/>
    <m/>
    <m/>
    <n v="350"/>
    <n v="350"/>
    <n v="393.75"/>
  </r>
  <r>
    <x v="16"/>
    <x v="2"/>
    <x v="7"/>
    <x v="144"/>
    <x v="6"/>
    <x v="1"/>
    <n v="12.5"/>
    <n v="0"/>
    <x v="4"/>
    <s v="DOMINIO"/>
    <x v="0"/>
    <m/>
    <m/>
    <n v="350"/>
    <n v="350"/>
    <n v="393.75"/>
  </r>
  <r>
    <x v="16"/>
    <x v="2"/>
    <x v="7"/>
    <x v="145"/>
    <x v="6"/>
    <x v="1"/>
    <n v="12.5"/>
    <n v="0"/>
    <x v="4"/>
    <s v="DOMINIO"/>
    <x v="0"/>
    <m/>
    <m/>
    <n v="350"/>
    <n v="350"/>
    <n v="393.75"/>
  </r>
  <r>
    <x v="16"/>
    <x v="2"/>
    <x v="7"/>
    <x v="146"/>
    <x v="6"/>
    <x v="1"/>
    <n v="12.5"/>
    <n v="0"/>
    <x v="4"/>
    <s v="DOMINIO"/>
    <x v="0"/>
    <m/>
    <m/>
    <n v="350"/>
    <n v="350"/>
    <n v="393.75"/>
  </r>
  <r>
    <x v="16"/>
    <x v="2"/>
    <x v="7"/>
    <x v="168"/>
    <x v="6"/>
    <x v="1"/>
    <n v="12.5"/>
    <n v="0"/>
    <x v="4"/>
    <s v="DOMINIO"/>
    <x v="0"/>
    <m/>
    <m/>
    <n v="350"/>
    <n v="350"/>
    <n v="393.75"/>
  </r>
  <r>
    <x v="16"/>
    <x v="2"/>
    <x v="7"/>
    <x v="397"/>
    <x v="6"/>
    <x v="1"/>
    <n v="12.5"/>
    <n v="0"/>
    <x v="4"/>
    <s v="DOMINIO"/>
    <x v="0"/>
    <s v="B - 21"/>
    <m/>
    <n v="350"/>
    <n v="350"/>
    <n v="393.75"/>
  </r>
  <r>
    <x v="16"/>
    <x v="2"/>
    <x v="7"/>
    <x v="169"/>
    <x v="6"/>
    <x v="1"/>
    <n v="12.5"/>
    <n v="0"/>
    <x v="4"/>
    <s v="DOMINIO"/>
    <x v="0"/>
    <s v="B - 18"/>
    <m/>
    <n v="350"/>
    <n v="350"/>
    <n v="393.75"/>
  </r>
  <r>
    <x v="16"/>
    <x v="2"/>
    <x v="7"/>
    <x v="170"/>
    <x v="6"/>
    <x v="1"/>
    <n v="12.5"/>
    <n v="0"/>
    <x v="4"/>
    <s v="DOMINIO"/>
    <x v="0"/>
    <s v="B - 17"/>
    <m/>
    <n v="350"/>
    <n v="350"/>
    <n v="393.75"/>
  </r>
  <r>
    <x v="16"/>
    <x v="2"/>
    <x v="7"/>
    <x v="398"/>
    <x v="6"/>
    <x v="1"/>
    <n v="12.5"/>
    <n v="0"/>
    <x v="4"/>
    <s v="DOMINIO"/>
    <x v="0"/>
    <s v="B - 16"/>
    <m/>
    <n v="350"/>
    <n v="350"/>
    <n v="393.75"/>
  </r>
  <r>
    <x v="16"/>
    <x v="2"/>
    <x v="7"/>
    <x v="171"/>
    <x v="6"/>
    <x v="1"/>
    <n v="12.5"/>
    <n v="0"/>
    <x v="4"/>
    <s v="DOMINIO"/>
    <x v="0"/>
    <s v="B - 15"/>
    <m/>
    <n v="350"/>
    <n v="350"/>
    <n v="393.75"/>
  </r>
  <r>
    <x v="16"/>
    <x v="2"/>
    <x v="7"/>
    <x v="399"/>
    <x v="6"/>
    <x v="1"/>
    <n v="12.5"/>
    <n v="0"/>
    <x v="4"/>
    <s v="DOMINIO"/>
    <x v="0"/>
    <s v="B - 14"/>
    <m/>
    <n v="350"/>
    <n v="350"/>
    <n v="393.75"/>
  </r>
  <r>
    <x v="16"/>
    <x v="2"/>
    <x v="7"/>
    <x v="172"/>
    <x v="6"/>
    <x v="1"/>
    <n v="12.5"/>
    <n v="0"/>
    <x v="4"/>
    <s v="DOMINIO"/>
    <x v="0"/>
    <s v="B - 13"/>
    <m/>
    <n v="350"/>
    <n v="350"/>
    <n v="393.75"/>
  </r>
  <r>
    <x v="16"/>
    <x v="2"/>
    <x v="7"/>
    <x v="147"/>
    <x v="6"/>
    <x v="1"/>
    <n v="12.5"/>
    <n v="0"/>
    <x v="4"/>
    <s v="DOMINIO"/>
    <x v="0"/>
    <s v="B - 12"/>
    <m/>
    <n v="350"/>
    <n v="350"/>
    <n v="393.75"/>
  </r>
  <r>
    <x v="16"/>
    <x v="2"/>
    <x v="7"/>
    <x v="173"/>
    <x v="6"/>
    <x v="1"/>
    <n v="12.5"/>
    <n v="0"/>
    <x v="4"/>
    <s v="DOMINIO"/>
    <x v="0"/>
    <s v="B - 10"/>
    <m/>
    <n v="350"/>
    <n v="350"/>
    <n v="393.75"/>
  </r>
  <r>
    <x v="16"/>
    <x v="2"/>
    <x v="7"/>
    <x v="174"/>
    <x v="6"/>
    <x v="1"/>
    <n v="12.5"/>
    <n v="0"/>
    <x v="4"/>
    <s v="DOMINIO"/>
    <x v="0"/>
    <s v="B - 9"/>
    <m/>
    <n v="350"/>
    <n v="350"/>
    <n v="393.75"/>
  </r>
  <r>
    <x v="16"/>
    <x v="2"/>
    <x v="7"/>
    <x v="148"/>
    <x v="6"/>
    <x v="1"/>
    <n v="12.5"/>
    <n v="0"/>
    <x v="4"/>
    <s v="DOMINIO"/>
    <x v="0"/>
    <s v="B - 8"/>
    <m/>
    <n v="350"/>
    <n v="350"/>
    <n v="393.75"/>
  </r>
  <r>
    <x v="16"/>
    <x v="2"/>
    <x v="7"/>
    <x v="149"/>
    <x v="6"/>
    <x v="1"/>
    <n v="12.5"/>
    <n v="0"/>
    <x v="4"/>
    <s v="DOMINIO"/>
    <x v="0"/>
    <s v="B - 7"/>
    <m/>
    <n v="350"/>
    <n v="350"/>
    <n v="393.75"/>
  </r>
  <r>
    <x v="16"/>
    <x v="2"/>
    <x v="7"/>
    <x v="175"/>
    <x v="6"/>
    <x v="1"/>
    <n v="12.5"/>
    <n v="0"/>
    <x v="4"/>
    <s v="DOMINIO"/>
    <x v="0"/>
    <s v="B - 5"/>
    <m/>
    <n v="350"/>
    <n v="350"/>
    <n v="393.75"/>
  </r>
  <r>
    <x v="16"/>
    <x v="2"/>
    <x v="7"/>
    <x v="150"/>
    <x v="6"/>
    <x v="1"/>
    <n v="12.5"/>
    <n v="0"/>
    <x v="4"/>
    <s v="DOMINIO"/>
    <x v="0"/>
    <m/>
    <m/>
    <n v="350"/>
    <n v="350"/>
    <n v="393.75"/>
  </r>
  <r>
    <x v="16"/>
    <x v="2"/>
    <x v="7"/>
    <x v="176"/>
    <x v="6"/>
    <x v="1"/>
    <n v="12.5"/>
    <n v="0"/>
    <x v="4"/>
    <s v="DOMINIO"/>
    <x v="0"/>
    <m/>
    <m/>
    <n v="350"/>
    <n v="350"/>
    <n v="393.75"/>
  </r>
  <r>
    <x v="16"/>
    <x v="2"/>
    <x v="7"/>
    <x v="151"/>
    <x v="6"/>
    <x v="1"/>
    <n v="12.5"/>
    <n v="0"/>
    <x v="4"/>
    <s v="DOMINIO"/>
    <x v="0"/>
    <m/>
    <m/>
    <n v="350"/>
    <n v="350"/>
    <n v="393.75"/>
  </r>
  <r>
    <x v="16"/>
    <x v="2"/>
    <x v="7"/>
    <x v="152"/>
    <x v="6"/>
    <x v="1"/>
    <n v="12.5"/>
    <n v="0"/>
    <x v="4"/>
    <s v="DOMINIO"/>
    <x v="0"/>
    <m/>
    <m/>
    <n v="350"/>
    <n v="350"/>
    <n v="393.75"/>
  </r>
  <r>
    <x v="16"/>
    <x v="2"/>
    <x v="7"/>
    <x v="153"/>
    <x v="6"/>
    <x v="1"/>
    <n v="12.5"/>
    <n v="0"/>
    <x v="4"/>
    <s v="DOMINIO"/>
    <x v="0"/>
    <m/>
    <m/>
    <n v="350"/>
    <n v="350"/>
    <n v="393.75"/>
  </r>
  <r>
    <x v="16"/>
    <x v="2"/>
    <x v="7"/>
    <x v="154"/>
    <x v="6"/>
    <x v="1"/>
    <n v="12.5"/>
    <n v="0"/>
    <x v="4"/>
    <s v="DOMINIO"/>
    <x v="0"/>
    <m/>
    <m/>
    <n v="350"/>
    <n v="350"/>
    <n v="393.75"/>
  </r>
  <r>
    <x v="16"/>
    <x v="2"/>
    <x v="7"/>
    <x v="164"/>
    <x v="6"/>
    <x v="1"/>
    <n v="12.5"/>
    <n v="0"/>
    <x v="9"/>
    <s v="USO Y GOCE"/>
    <x v="0"/>
    <m/>
    <m/>
    <n v="300"/>
    <n v="300"/>
    <n v="337.5"/>
  </r>
  <r>
    <x v="16"/>
    <x v="2"/>
    <x v="7"/>
    <x v="178"/>
    <x v="6"/>
    <x v="1"/>
    <n v="12.5"/>
    <n v="0"/>
    <x v="9"/>
    <s v="USO Y GOCE"/>
    <x v="0"/>
    <m/>
    <m/>
    <n v="300"/>
    <n v="300"/>
    <n v="337.5"/>
  </r>
  <r>
    <x v="16"/>
    <x v="2"/>
    <x v="7"/>
    <x v="534"/>
    <x v="6"/>
    <x v="1"/>
    <n v="12.5"/>
    <n v="0"/>
    <x v="9"/>
    <s v="USO Y GOCE"/>
    <x v="0"/>
    <m/>
    <m/>
    <n v="300"/>
    <n v="300"/>
    <n v="337.5"/>
  </r>
  <r>
    <x v="16"/>
    <x v="2"/>
    <x v="7"/>
    <x v="179"/>
    <x v="6"/>
    <x v="1"/>
    <n v="12.5"/>
    <n v="0"/>
    <x v="9"/>
    <s v="USO Y GOCE"/>
    <x v="0"/>
    <m/>
    <m/>
    <n v="300"/>
    <n v="300"/>
    <n v="337.5"/>
  </r>
  <r>
    <x v="16"/>
    <x v="2"/>
    <x v="7"/>
    <x v="535"/>
    <x v="6"/>
    <x v="1"/>
    <n v="12.5"/>
    <n v="0"/>
    <x v="9"/>
    <s v="USO Y GOCE"/>
    <x v="0"/>
    <m/>
    <m/>
    <n v="300"/>
    <n v="300"/>
    <n v="337.5"/>
  </r>
  <r>
    <x v="16"/>
    <x v="2"/>
    <x v="7"/>
    <x v="417"/>
    <x v="6"/>
    <x v="1"/>
    <n v="12.5"/>
    <n v="0"/>
    <x v="9"/>
    <s v="USO Y GOCE"/>
    <x v="0"/>
    <m/>
    <m/>
    <n v="300"/>
    <n v="300"/>
    <n v="337.5"/>
  </r>
  <r>
    <x v="16"/>
    <x v="2"/>
    <x v="7"/>
    <x v="180"/>
    <x v="6"/>
    <x v="1"/>
    <n v="12.5"/>
    <n v="0"/>
    <x v="9"/>
    <s v="USO Y GOCE"/>
    <x v="0"/>
    <m/>
    <m/>
    <n v="300"/>
    <n v="300"/>
    <n v="337.5"/>
  </r>
  <r>
    <x v="16"/>
    <x v="2"/>
    <x v="7"/>
    <x v="181"/>
    <x v="6"/>
    <x v="1"/>
    <n v="12.5"/>
    <n v="0"/>
    <x v="9"/>
    <s v="USO Y GOCE"/>
    <x v="0"/>
    <m/>
    <m/>
    <n v="300"/>
    <n v="300"/>
    <n v="337.5"/>
  </r>
  <r>
    <x v="16"/>
    <x v="2"/>
    <x v="7"/>
    <x v="182"/>
    <x v="6"/>
    <x v="1"/>
    <n v="12.5"/>
    <n v="0"/>
    <x v="9"/>
    <s v="USO Y GOCE"/>
    <x v="0"/>
    <m/>
    <m/>
    <n v="300"/>
    <n v="300"/>
    <n v="337.5"/>
  </r>
  <r>
    <x v="16"/>
    <x v="2"/>
    <x v="7"/>
    <x v="184"/>
    <x v="6"/>
    <x v="1"/>
    <n v="12.5"/>
    <n v="0"/>
    <x v="9"/>
    <s v="USO Y GOCE"/>
    <x v="0"/>
    <m/>
    <m/>
    <n v="300"/>
    <n v="300"/>
    <n v="337.5"/>
  </r>
  <r>
    <x v="16"/>
    <x v="2"/>
    <x v="7"/>
    <x v="185"/>
    <x v="6"/>
    <x v="1"/>
    <n v="12.5"/>
    <n v="0"/>
    <x v="9"/>
    <s v="USO Y GOCE"/>
    <x v="0"/>
    <m/>
    <m/>
    <n v="300"/>
    <n v="300"/>
    <n v="337.5"/>
  </r>
  <r>
    <x v="16"/>
    <x v="2"/>
    <x v="7"/>
    <x v="186"/>
    <x v="6"/>
    <x v="1"/>
    <n v="12.5"/>
    <n v="0"/>
    <x v="4"/>
    <s v="DOMINIO"/>
    <x v="0"/>
    <s v="B - 31"/>
    <m/>
    <n v="350"/>
    <n v="350"/>
    <n v="393.75"/>
  </r>
  <r>
    <x v="16"/>
    <x v="2"/>
    <x v="7"/>
    <x v="187"/>
    <x v="6"/>
    <x v="1"/>
    <n v="12.5"/>
    <n v="0"/>
    <x v="4"/>
    <s v="DOMINIO"/>
    <x v="0"/>
    <s v="B - 32"/>
    <m/>
    <n v="350"/>
    <n v="350"/>
    <n v="393.75"/>
  </r>
  <r>
    <x v="16"/>
    <x v="2"/>
    <x v="7"/>
    <x v="188"/>
    <x v="6"/>
    <x v="1"/>
    <n v="12.5"/>
    <n v="0"/>
    <x v="4"/>
    <s v="DOMINIO"/>
    <x v="0"/>
    <s v="B - 35"/>
    <m/>
    <n v="350"/>
    <n v="350"/>
    <n v="393.75"/>
  </r>
  <r>
    <x v="16"/>
    <x v="2"/>
    <x v="7"/>
    <x v="189"/>
    <x v="6"/>
    <x v="1"/>
    <n v="12.5"/>
    <n v="0"/>
    <x v="4"/>
    <s v="DOMINIO"/>
    <x v="0"/>
    <s v="B - 36"/>
    <m/>
    <n v="350"/>
    <n v="350"/>
    <n v="393.75"/>
  </r>
  <r>
    <x v="16"/>
    <x v="2"/>
    <x v="7"/>
    <x v="190"/>
    <x v="6"/>
    <x v="1"/>
    <n v="12.5"/>
    <n v="0"/>
    <x v="4"/>
    <s v="DOMINIO"/>
    <x v="0"/>
    <s v="B - 37"/>
    <m/>
    <n v="350"/>
    <n v="350"/>
    <n v="393.75"/>
  </r>
  <r>
    <x v="16"/>
    <x v="2"/>
    <x v="7"/>
    <x v="191"/>
    <x v="6"/>
    <x v="1"/>
    <n v="12.5"/>
    <n v="0"/>
    <x v="4"/>
    <s v="DOMINIO"/>
    <x v="0"/>
    <s v="B - 38"/>
    <m/>
    <n v="350"/>
    <n v="350"/>
    <n v="393.75"/>
  </r>
  <r>
    <x v="16"/>
    <x v="2"/>
    <x v="7"/>
    <x v="192"/>
    <x v="6"/>
    <x v="1"/>
    <n v="12.5"/>
    <n v="0"/>
    <x v="4"/>
    <s v="DOMINIO"/>
    <x v="0"/>
    <s v="B - 39"/>
    <m/>
    <n v="350"/>
    <n v="350"/>
    <n v="393.75"/>
  </r>
  <r>
    <x v="16"/>
    <x v="2"/>
    <x v="7"/>
    <x v="193"/>
    <x v="6"/>
    <x v="1"/>
    <n v="12.5"/>
    <n v="0"/>
    <x v="4"/>
    <s v="DOMINIO"/>
    <x v="0"/>
    <s v="B - 40"/>
    <m/>
    <n v="350"/>
    <n v="350"/>
    <n v="393.75"/>
  </r>
  <r>
    <x v="16"/>
    <x v="2"/>
    <x v="7"/>
    <x v="194"/>
    <x v="6"/>
    <x v="1"/>
    <n v="12.5"/>
    <n v="0"/>
    <x v="4"/>
    <s v="DOMINIO"/>
    <x v="0"/>
    <s v="B - 41"/>
    <m/>
    <n v="350"/>
    <n v="350"/>
    <n v="393.75"/>
  </r>
  <r>
    <x v="16"/>
    <x v="2"/>
    <x v="7"/>
    <x v="7"/>
    <x v="6"/>
    <x v="1"/>
    <n v="12.5"/>
    <n v="0"/>
    <x v="4"/>
    <s v="DOMINIO"/>
    <x v="0"/>
    <s v="B - 43"/>
    <m/>
    <n v="350"/>
    <n v="350"/>
    <n v="393.75"/>
  </r>
  <r>
    <x v="16"/>
    <x v="2"/>
    <x v="7"/>
    <x v="195"/>
    <x v="6"/>
    <x v="1"/>
    <n v="12.5"/>
    <n v="0"/>
    <x v="4"/>
    <s v="DOMINIO"/>
    <x v="0"/>
    <s v="B - 44"/>
    <m/>
    <n v="350"/>
    <n v="350"/>
    <n v="393.75"/>
  </r>
  <r>
    <x v="16"/>
    <x v="2"/>
    <x v="7"/>
    <x v="196"/>
    <x v="6"/>
    <x v="1"/>
    <n v="12.5"/>
    <n v="0"/>
    <x v="4"/>
    <s v="DOMINIO"/>
    <x v="0"/>
    <s v="B - 45"/>
    <m/>
    <n v="350"/>
    <n v="350"/>
    <n v="393.75"/>
  </r>
  <r>
    <x v="16"/>
    <x v="2"/>
    <x v="7"/>
    <x v="197"/>
    <x v="6"/>
    <x v="1"/>
    <n v="12.5"/>
    <n v="0"/>
    <x v="4"/>
    <s v="DOMINIO"/>
    <x v="0"/>
    <s v="B - 46"/>
    <m/>
    <n v="350"/>
    <n v="350"/>
    <n v="393.75"/>
  </r>
  <r>
    <x v="16"/>
    <x v="2"/>
    <x v="7"/>
    <x v="198"/>
    <x v="6"/>
    <x v="1"/>
    <n v="12.5"/>
    <n v="0"/>
    <x v="4"/>
    <s v="DOMINIO"/>
    <x v="0"/>
    <s v="B - 48"/>
    <m/>
    <n v="350"/>
    <n v="350"/>
    <n v="393.75"/>
  </r>
  <r>
    <x v="16"/>
    <x v="2"/>
    <x v="7"/>
    <x v="199"/>
    <x v="6"/>
    <x v="1"/>
    <n v="12.5"/>
    <n v="0"/>
    <x v="4"/>
    <s v="DOMINIO"/>
    <x v="0"/>
    <s v="B - 49"/>
    <m/>
    <n v="350"/>
    <n v="350"/>
    <n v="393.75"/>
  </r>
  <r>
    <x v="16"/>
    <x v="2"/>
    <x v="7"/>
    <x v="200"/>
    <x v="6"/>
    <x v="1"/>
    <n v="12.5"/>
    <n v="0"/>
    <x v="9"/>
    <s v="USO Y GOCE"/>
    <x v="0"/>
    <s v="E - 110"/>
    <m/>
    <n v="300"/>
    <n v="300"/>
    <n v="337.5"/>
  </r>
  <r>
    <x v="16"/>
    <x v="2"/>
    <x v="7"/>
    <x v="201"/>
    <x v="6"/>
    <x v="1"/>
    <n v="12.5"/>
    <n v="0"/>
    <x v="9"/>
    <s v="USO Y GOCE"/>
    <x v="0"/>
    <s v="E - 109"/>
    <m/>
    <n v="300"/>
    <n v="300"/>
    <n v="337.5"/>
  </r>
  <r>
    <x v="16"/>
    <x v="2"/>
    <x v="7"/>
    <x v="202"/>
    <x v="6"/>
    <x v="1"/>
    <n v="12.5"/>
    <n v="0"/>
    <x v="9"/>
    <s v="USO Y GOCE"/>
    <x v="0"/>
    <s v="E - 112"/>
    <m/>
    <n v="300"/>
    <n v="300"/>
    <n v="337.5"/>
  </r>
  <r>
    <x v="16"/>
    <x v="2"/>
    <x v="7"/>
    <x v="203"/>
    <x v="6"/>
    <x v="1"/>
    <n v="12.5"/>
    <n v="0"/>
    <x v="9"/>
    <s v="USO Y GOCE"/>
    <x v="0"/>
    <s v="E - 111"/>
    <m/>
    <n v="300"/>
    <n v="300"/>
    <n v="337.5"/>
  </r>
  <r>
    <x v="16"/>
    <x v="2"/>
    <x v="7"/>
    <x v="204"/>
    <x v="6"/>
    <x v="1"/>
    <n v="12.5"/>
    <n v="0"/>
    <x v="9"/>
    <s v="USO Y GOCE"/>
    <x v="0"/>
    <s v="E - 114"/>
    <m/>
    <n v="300"/>
    <n v="300"/>
    <n v="337.5"/>
  </r>
  <r>
    <x v="16"/>
    <x v="2"/>
    <x v="7"/>
    <x v="205"/>
    <x v="6"/>
    <x v="1"/>
    <n v="12.5"/>
    <n v="0"/>
    <x v="9"/>
    <s v="USO Y GOCE"/>
    <x v="0"/>
    <s v="E - 113"/>
    <m/>
    <n v="300"/>
    <n v="300"/>
    <n v="337.5"/>
  </r>
  <r>
    <x v="16"/>
    <x v="2"/>
    <x v="7"/>
    <x v="206"/>
    <x v="6"/>
    <x v="1"/>
    <n v="12.5"/>
    <n v="0"/>
    <x v="9"/>
    <s v="USO Y GOCE"/>
    <x v="0"/>
    <s v="E - 116"/>
    <m/>
    <n v="300"/>
    <n v="300"/>
    <n v="337.5"/>
  </r>
  <r>
    <x v="16"/>
    <x v="2"/>
    <x v="7"/>
    <x v="207"/>
    <x v="6"/>
    <x v="1"/>
    <n v="12.5"/>
    <n v="0"/>
    <x v="9"/>
    <s v="USO Y GOCE"/>
    <x v="0"/>
    <s v="E - 115"/>
    <m/>
    <n v="300"/>
    <n v="300"/>
    <n v="337.5"/>
  </r>
  <r>
    <x v="16"/>
    <x v="2"/>
    <x v="7"/>
    <x v="208"/>
    <x v="6"/>
    <x v="1"/>
    <n v="12.5"/>
    <n v="0"/>
    <x v="9"/>
    <s v="USO Y GOCE"/>
    <x v="0"/>
    <s v="E - 118"/>
    <m/>
    <n v="300"/>
    <n v="300"/>
    <n v="337.5"/>
  </r>
  <r>
    <x v="16"/>
    <x v="2"/>
    <x v="7"/>
    <x v="209"/>
    <x v="6"/>
    <x v="1"/>
    <n v="12.5"/>
    <n v="0"/>
    <x v="9"/>
    <s v="USO Y GOCE"/>
    <x v="0"/>
    <s v="E - 117"/>
    <m/>
    <n v="300"/>
    <n v="300"/>
    <n v="337.5"/>
  </r>
  <r>
    <x v="16"/>
    <x v="2"/>
    <x v="7"/>
    <x v="210"/>
    <x v="6"/>
    <x v="1"/>
    <n v="12.5"/>
    <n v="0"/>
    <x v="9"/>
    <s v="USO Y GOCE"/>
    <x v="0"/>
    <m/>
    <m/>
    <n v="300"/>
    <n v="300"/>
    <n v="337.5"/>
  </r>
  <r>
    <x v="16"/>
    <x v="2"/>
    <x v="7"/>
    <x v="211"/>
    <x v="6"/>
    <x v="1"/>
    <n v="12.5"/>
    <n v="0"/>
    <x v="9"/>
    <s v="USO Y GOCE"/>
    <x v="0"/>
    <m/>
    <m/>
    <n v="300"/>
    <n v="300"/>
    <n v="337.5"/>
  </r>
  <r>
    <x v="16"/>
    <x v="2"/>
    <x v="7"/>
    <x v="212"/>
    <x v="6"/>
    <x v="1"/>
    <n v="12.5"/>
    <n v="0"/>
    <x v="9"/>
    <s v="USO Y GOCE"/>
    <x v="0"/>
    <m/>
    <m/>
    <n v="300"/>
    <n v="300"/>
    <n v="337.5"/>
  </r>
  <r>
    <x v="16"/>
    <x v="2"/>
    <x v="7"/>
    <x v="213"/>
    <x v="6"/>
    <x v="1"/>
    <n v="12.5"/>
    <n v="0"/>
    <x v="9"/>
    <s v="USO Y GOCE"/>
    <x v="0"/>
    <m/>
    <m/>
    <n v="300"/>
    <n v="300"/>
    <n v="337.5"/>
  </r>
  <r>
    <x v="16"/>
    <x v="2"/>
    <x v="7"/>
    <x v="214"/>
    <x v="6"/>
    <x v="1"/>
    <n v="12.5"/>
    <n v="0"/>
    <x v="9"/>
    <s v="USO Y GOCE"/>
    <x v="0"/>
    <m/>
    <m/>
    <n v="300"/>
    <n v="300"/>
    <n v="337.5"/>
  </r>
  <r>
    <x v="16"/>
    <x v="2"/>
    <x v="7"/>
    <x v="215"/>
    <x v="6"/>
    <x v="1"/>
    <n v="12.5"/>
    <n v="0"/>
    <x v="9"/>
    <s v="USO Y GOCE"/>
    <x v="0"/>
    <m/>
    <m/>
    <n v="300"/>
    <n v="300"/>
    <n v="337.5"/>
  </r>
  <r>
    <x v="16"/>
    <x v="4"/>
    <x v="9"/>
    <x v="103"/>
    <x v="6"/>
    <x v="1"/>
    <n v="83.94"/>
    <n v="0"/>
    <x v="4"/>
    <s v="DOMINIO"/>
    <x v="0"/>
    <m/>
    <m/>
    <n v="3995"/>
    <n v="3995"/>
    <n v="4494.375"/>
  </r>
  <r>
    <x v="16"/>
    <x v="4"/>
    <x v="9"/>
    <x v="104"/>
    <x v="6"/>
    <x v="1"/>
    <n v="87.77"/>
    <n v="0"/>
    <x v="4"/>
    <s v="DOMINIO"/>
    <x v="0"/>
    <m/>
    <m/>
    <n v="4177"/>
    <n v="4177"/>
    <n v="4699.125"/>
  </r>
  <r>
    <x v="16"/>
    <x v="4"/>
    <x v="9"/>
    <x v="105"/>
    <x v="6"/>
    <x v="1"/>
    <n v="77.569999999999993"/>
    <n v="0"/>
    <x v="4"/>
    <s v="DOMINIO"/>
    <x v="0"/>
    <m/>
    <m/>
    <n v="3692"/>
    <n v="3692"/>
    <n v="4153.5"/>
  </r>
  <r>
    <x v="16"/>
    <x v="4"/>
    <x v="9"/>
    <x v="106"/>
    <x v="6"/>
    <x v="1"/>
    <n v="75.040000000000006"/>
    <n v="0"/>
    <x v="4"/>
    <s v="DOMINIO"/>
    <x v="0"/>
    <m/>
    <m/>
    <n v="3571"/>
    <n v="3571"/>
    <n v="4017.375"/>
  </r>
  <r>
    <x v="17"/>
    <x v="1"/>
    <x v="6"/>
    <x v="103"/>
    <x v="6"/>
    <x v="1"/>
    <n v="4.28"/>
    <n v="0"/>
    <x v="10"/>
    <m/>
    <x v="0"/>
    <m/>
    <m/>
    <n v="72"/>
    <n v="72"/>
    <n v="80.999999999999986"/>
  </r>
  <r>
    <x v="17"/>
    <x v="1"/>
    <x v="6"/>
    <x v="104"/>
    <x v="6"/>
    <x v="1"/>
    <n v="4.51"/>
    <n v="0"/>
    <x v="10"/>
    <m/>
    <x v="0"/>
    <m/>
    <m/>
    <n v="76"/>
    <n v="76"/>
    <n v="85.5"/>
  </r>
  <r>
    <x v="17"/>
    <x v="1"/>
    <x v="6"/>
    <x v="105"/>
    <x v="6"/>
    <x v="1"/>
    <n v="4.5199999999999996"/>
    <n v="0"/>
    <x v="10"/>
    <m/>
    <x v="0"/>
    <m/>
    <m/>
    <n v="77"/>
    <n v="77"/>
    <n v="86.624999999999986"/>
  </r>
  <r>
    <x v="17"/>
    <x v="1"/>
    <x v="6"/>
    <x v="107"/>
    <x v="6"/>
    <x v="1"/>
    <n v="4.28"/>
    <n v="0"/>
    <x v="10"/>
    <m/>
    <x v="0"/>
    <m/>
    <m/>
    <n v="72"/>
    <n v="72"/>
    <n v="80.999999999999986"/>
  </r>
  <r>
    <x v="17"/>
    <x v="1"/>
    <x v="6"/>
    <x v="273"/>
    <x v="6"/>
    <x v="1"/>
    <n v="4.54"/>
    <n v="0"/>
    <x v="10"/>
    <m/>
    <x v="0"/>
    <m/>
    <m/>
    <n v="77"/>
    <n v="77"/>
    <n v="86.624999999999986"/>
  </r>
  <r>
    <x v="17"/>
    <x v="1"/>
    <x v="6"/>
    <x v="108"/>
    <x v="20"/>
    <x v="1"/>
    <n v="5.08"/>
    <n v="0"/>
    <x v="10"/>
    <m/>
    <x v="0"/>
    <m/>
    <m/>
    <n v="86"/>
    <n v="86"/>
    <n v="96.75"/>
  </r>
  <r>
    <x v="17"/>
    <x v="1"/>
    <x v="6"/>
    <x v="109"/>
    <x v="20"/>
    <x v="1"/>
    <n v="10.06"/>
    <n v="0"/>
    <x v="10"/>
    <m/>
    <x v="0"/>
    <m/>
    <m/>
    <n v="170"/>
    <n v="170"/>
    <n v="191.25"/>
  </r>
  <r>
    <x v="17"/>
    <x v="1"/>
    <x v="6"/>
    <x v="165"/>
    <x v="20"/>
    <x v="1"/>
    <n v="10.37"/>
    <n v="0"/>
    <x v="10"/>
    <m/>
    <x v="0"/>
    <m/>
    <m/>
    <n v="175"/>
    <n v="175"/>
    <n v="196.875"/>
  </r>
  <r>
    <x v="17"/>
    <x v="1"/>
    <x v="6"/>
    <x v="274"/>
    <x v="20"/>
    <x v="1"/>
    <n v="2.15"/>
    <n v="0"/>
    <x v="10"/>
    <m/>
    <x v="0"/>
    <m/>
    <m/>
    <n v="37"/>
    <n v="37"/>
    <n v="41.624999999999993"/>
  </r>
  <r>
    <x v="17"/>
    <x v="1"/>
    <x v="6"/>
    <x v="110"/>
    <x v="20"/>
    <x v="1"/>
    <n v="2.11"/>
    <n v="0"/>
    <x v="10"/>
    <m/>
    <x v="0"/>
    <m/>
    <m/>
    <n v="36"/>
    <n v="36"/>
    <n v="40.499999999999993"/>
  </r>
  <r>
    <x v="17"/>
    <x v="1"/>
    <x v="6"/>
    <x v="111"/>
    <x v="20"/>
    <x v="1"/>
    <n v="2.11"/>
    <n v="0"/>
    <x v="10"/>
    <m/>
    <x v="0"/>
    <m/>
    <m/>
    <n v="36"/>
    <n v="36"/>
    <n v="40.499999999999993"/>
  </r>
  <r>
    <x v="17"/>
    <x v="1"/>
    <x v="6"/>
    <x v="112"/>
    <x v="20"/>
    <x v="1"/>
    <n v="2.11"/>
    <n v="0"/>
    <x v="10"/>
    <m/>
    <x v="0"/>
    <m/>
    <m/>
    <n v="36"/>
    <n v="36"/>
    <n v="40.499999999999993"/>
  </r>
  <r>
    <x v="17"/>
    <x v="1"/>
    <x v="6"/>
    <x v="113"/>
    <x v="20"/>
    <x v="1"/>
    <n v="2.2200000000000002"/>
    <n v="0"/>
    <x v="10"/>
    <m/>
    <x v="0"/>
    <m/>
    <m/>
    <n v="38"/>
    <n v="38"/>
    <n v="42.75"/>
  </r>
  <r>
    <x v="17"/>
    <x v="1"/>
    <x v="6"/>
    <x v="114"/>
    <x v="20"/>
    <x v="1"/>
    <n v="2.46"/>
    <n v="0"/>
    <x v="10"/>
    <m/>
    <x v="0"/>
    <m/>
    <m/>
    <n v="42"/>
    <n v="42"/>
    <n v="47.249999999999993"/>
  </r>
  <r>
    <x v="17"/>
    <x v="1"/>
    <x v="6"/>
    <x v="115"/>
    <x v="20"/>
    <x v="1"/>
    <n v="2.33"/>
    <n v="0"/>
    <x v="10"/>
    <m/>
    <x v="0"/>
    <m/>
    <m/>
    <n v="40"/>
    <n v="40"/>
    <n v="45"/>
  </r>
  <r>
    <x v="17"/>
    <x v="1"/>
    <x v="6"/>
    <x v="116"/>
    <x v="20"/>
    <x v="1"/>
    <n v="1.4"/>
    <n v="0"/>
    <x v="10"/>
    <m/>
    <x v="0"/>
    <m/>
    <m/>
    <n v="24"/>
    <n v="24"/>
    <n v="27"/>
  </r>
  <r>
    <x v="17"/>
    <x v="1"/>
    <x v="6"/>
    <x v="117"/>
    <x v="20"/>
    <x v="1"/>
    <n v="1.43"/>
    <n v="0"/>
    <x v="10"/>
    <m/>
    <x v="0"/>
    <m/>
    <m/>
    <n v="25"/>
    <n v="25"/>
    <n v="28.125"/>
  </r>
  <r>
    <x v="17"/>
    <x v="1"/>
    <x v="6"/>
    <x v="166"/>
    <x v="20"/>
    <x v="1"/>
    <n v="1.22"/>
    <n v="0"/>
    <x v="10"/>
    <m/>
    <x v="0"/>
    <m/>
    <m/>
    <n v="21"/>
    <n v="21"/>
    <n v="23.624999999999996"/>
  </r>
  <r>
    <x v="17"/>
    <x v="1"/>
    <x v="6"/>
    <x v="118"/>
    <x v="20"/>
    <x v="1"/>
    <n v="1.1499999999999999"/>
    <n v="0"/>
    <x v="10"/>
    <m/>
    <x v="0"/>
    <m/>
    <m/>
    <n v="20"/>
    <n v="20"/>
    <n v="22.5"/>
  </r>
  <r>
    <x v="17"/>
    <x v="1"/>
    <x v="6"/>
    <x v="119"/>
    <x v="20"/>
    <x v="1"/>
    <n v="4.58"/>
    <n v="0"/>
    <x v="10"/>
    <m/>
    <x v="0"/>
    <m/>
    <m/>
    <n v="78"/>
    <n v="78"/>
    <n v="87.75"/>
  </r>
  <r>
    <x v="17"/>
    <x v="1"/>
    <x v="6"/>
    <x v="120"/>
    <x v="20"/>
    <x v="1"/>
    <n v="4.3499999999999996"/>
    <n v="0"/>
    <x v="10"/>
    <m/>
    <x v="0"/>
    <m/>
    <m/>
    <n v="74"/>
    <n v="74"/>
    <n v="83.249999999999986"/>
  </r>
  <r>
    <x v="17"/>
    <x v="1"/>
    <x v="6"/>
    <x v="275"/>
    <x v="20"/>
    <x v="1"/>
    <n v="2.33"/>
    <n v="0"/>
    <x v="10"/>
    <m/>
    <x v="0"/>
    <m/>
    <m/>
    <n v="40"/>
    <n v="40"/>
    <n v="45"/>
  </r>
  <r>
    <x v="17"/>
    <x v="1"/>
    <x v="6"/>
    <x v="121"/>
    <x v="20"/>
    <x v="1"/>
    <n v="2.46"/>
    <n v="0"/>
    <x v="10"/>
    <m/>
    <x v="0"/>
    <m/>
    <m/>
    <n v="42"/>
    <n v="42"/>
    <n v="47.249999999999993"/>
  </r>
  <r>
    <x v="17"/>
    <x v="1"/>
    <x v="6"/>
    <x v="122"/>
    <x v="20"/>
    <x v="1"/>
    <n v="7.38"/>
    <n v="0"/>
    <x v="10"/>
    <m/>
    <x v="0"/>
    <m/>
    <m/>
    <n v="125"/>
    <n v="125"/>
    <n v="140.625"/>
  </r>
  <r>
    <x v="17"/>
    <x v="1"/>
    <x v="6"/>
    <x v="123"/>
    <x v="20"/>
    <x v="1"/>
    <n v="7.62"/>
    <n v="0"/>
    <x v="10"/>
    <m/>
    <x v="0"/>
    <m/>
    <m/>
    <n v="129"/>
    <n v="129"/>
    <n v="145.12499999999997"/>
  </r>
  <r>
    <x v="17"/>
    <x v="1"/>
    <x v="6"/>
    <x v="167"/>
    <x v="20"/>
    <x v="1"/>
    <n v="7.62"/>
    <n v="0"/>
    <x v="10"/>
    <m/>
    <x v="0"/>
    <m/>
    <m/>
    <n v="129"/>
    <n v="129"/>
    <n v="145.12499999999997"/>
  </r>
  <r>
    <x v="17"/>
    <x v="1"/>
    <x v="6"/>
    <x v="124"/>
    <x v="20"/>
    <x v="1"/>
    <n v="8.4600000000000009"/>
    <n v="0"/>
    <x v="10"/>
    <m/>
    <x v="0"/>
    <m/>
    <m/>
    <n v="143"/>
    <n v="143"/>
    <n v="160.87499999999997"/>
  </r>
  <r>
    <x v="17"/>
    <x v="1"/>
    <x v="6"/>
    <x v="125"/>
    <x v="20"/>
    <x v="1"/>
    <n v="8.4600000000000009"/>
    <n v="0"/>
    <x v="10"/>
    <m/>
    <x v="0"/>
    <m/>
    <m/>
    <n v="143"/>
    <n v="143"/>
    <n v="160.87499999999997"/>
  </r>
  <r>
    <x v="17"/>
    <x v="1"/>
    <x v="6"/>
    <x v="126"/>
    <x v="20"/>
    <x v="1"/>
    <n v="4.5999999999999996"/>
    <n v="0"/>
    <x v="10"/>
    <m/>
    <x v="0"/>
    <m/>
    <m/>
    <n v="78"/>
    <n v="78"/>
    <n v="87.75"/>
  </r>
  <r>
    <x v="17"/>
    <x v="1"/>
    <x v="6"/>
    <x v="127"/>
    <x v="20"/>
    <x v="1"/>
    <n v="4.6399999999999997"/>
    <n v="0"/>
    <x v="10"/>
    <m/>
    <x v="0"/>
    <m/>
    <m/>
    <n v="79"/>
    <n v="79"/>
    <n v="88.874999999999986"/>
  </r>
  <r>
    <x v="17"/>
    <x v="1"/>
    <x v="6"/>
    <x v="276"/>
    <x v="20"/>
    <x v="1"/>
    <n v="4.04"/>
    <n v="0"/>
    <x v="10"/>
    <m/>
    <x v="0"/>
    <m/>
    <m/>
    <n v="68"/>
    <n v="68"/>
    <n v="76.5"/>
  </r>
  <r>
    <x v="17"/>
    <x v="1"/>
    <x v="6"/>
    <x v="128"/>
    <x v="20"/>
    <x v="1"/>
    <n v="3.22"/>
    <n v="0"/>
    <x v="10"/>
    <m/>
    <x v="0"/>
    <m/>
    <m/>
    <n v="55"/>
    <n v="55"/>
    <n v="61.875"/>
  </r>
  <r>
    <x v="17"/>
    <x v="1"/>
    <x v="6"/>
    <x v="129"/>
    <x v="20"/>
    <x v="1"/>
    <n v="3.28"/>
    <n v="0"/>
    <x v="10"/>
    <m/>
    <x v="0"/>
    <m/>
    <m/>
    <n v="56"/>
    <n v="56"/>
    <n v="62.999999999999993"/>
  </r>
  <r>
    <x v="17"/>
    <x v="1"/>
    <x v="6"/>
    <x v="130"/>
    <x v="21"/>
    <x v="1"/>
    <n v="4.88"/>
    <n v="0"/>
    <x v="10"/>
    <m/>
    <x v="0"/>
    <m/>
    <m/>
    <n v="83"/>
    <n v="83"/>
    <n v="93.375"/>
  </r>
  <r>
    <x v="17"/>
    <x v="1"/>
    <x v="6"/>
    <x v="131"/>
    <x v="21"/>
    <x v="1"/>
    <n v="4.8600000000000003"/>
    <n v="0"/>
    <x v="10"/>
    <m/>
    <x v="0"/>
    <m/>
    <m/>
    <n v="82"/>
    <n v="82"/>
    <n v="92.249999999999986"/>
  </r>
  <r>
    <x v="17"/>
    <x v="1"/>
    <x v="6"/>
    <x v="132"/>
    <x v="21"/>
    <x v="1"/>
    <n v="4.45"/>
    <n v="0"/>
    <x v="10"/>
    <m/>
    <x v="0"/>
    <m/>
    <m/>
    <n v="75"/>
    <n v="75"/>
    <n v="84.375"/>
  </r>
  <r>
    <x v="17"/>
    <x v="1"/>
    <x v="6"/>
    <x v="133"/>
    <x v="21"/>
    <x v="1"/>
    <n v="4.45"/>
    <n v="0"/>
    <x v="10"/>
    <m/>
    <x v="0"/>
    <m/>
    <m/>
    <n v="75"/>
    <n v="75"/>
    <n v="84.375"/>
  </r>
  <r>
    <x v="17"/>
    <x v="1"/>
    <x v="6"/>
    <x v="134"/>
    <x v="21"/>
    <x v="1"/>
    <n v="4.45"/>
    <n v="0"/>
    <x v="10"/>
    <m/>
    <x v="0"/>
    <m/>
    <m/>
    <n v="75"/>
    <n v="75"/>
    <n v="84.375"/>
  </r>
  <r>
    <x v="17"/>
    <x v="1"/>
    <x v="6"/>
    <x v="135"/>
    <x v="21"/>
    <x v="1"/>
    <n v="5.19"/>
    <n v="0"/>
    <x v="10"/>
    <m/>
    <x v="0"/>
    <m/>
    <m/>
    <n v="88"/>
    <n v="88"/>
    <n v="99"/>
  </r>
  <r>
    <x v="17"/>
    <x v="1"/>
    <x v="6"/>
    <x v="136"/>
    <x v="21"/>
    <x v="1"/>
    <n v="10.06"/>
    <n v="0"/>
    <x v="10"/>
    <m/>
    <x v="0"/>
    <m/>
    <m/>
    <n v="170"/>
    <n v="170"/>
    <n v="191.25"/>
  </r>
  <r>
    <x v="17"/>
    <x v="1"/>
    <x v="6"/>
    <x v="137"/>
    <x v="21"/>
    <x v="1"/>
    <n v="10.37"/>
    <n v="0"/>
    <x v="10"/>
    <m/>
    <x v="0"/>
    <m/>
    <m/>
    <n v="175"/>
    <n v="175"/>
    <n v="196.875"/>
  </r>
  <r>
    <x v="17"/>
    <x v="1"/>
    <x v="6"/>
    <x v="138"/>
    <x v="21"/>
    <x v="1"/>
    <n v="2.02"/>
    <n v="0"/>
    <x v="10"/>
    <m/>
    <x v="0"/>
    <m/>
    <m/>
    <n v="34"/>
    <n v="34"/>
    <n v="38.25"/>
  </r>
  <r>
    <x v="17"/>
    <x v="1"/>
    <x v="6"/>
    <x v="139"/>
    <x v="21"/>
    <x v="1"/>
    <n v="1.97"/>
    <n v="0"/>
    <x v="10"/>
    <m/>
    <x v="0"/>
    <m/>
    <m/>
    <n v="34"/>
    <n v="34"/>
    <n v="38.25"/>
  </r>
  <r>
    <x v="17"/>
    <x v="1"/>
    <x v="6"/>
    <x v="140"/>
    <x v="21"/>
    <x v="1"/>
    <n v="1.97"/>
    <n v="0"/>
    <x v="10"/>
    <m/>
    <x v="0"/>
    <m/>
    <m/>
    <n v="34"/>
    <n v="34"/>
    <n v="38.25"/>
  </r>
  <r>
    <x v="17"/>
    <x v="1"/>
    <x v="6"/>
    <x v="141"/>
    <x v="21"/>
    <x v="1"/>
    <n v="1.97"/>
    <n v="0"/>
    <x v="10"/>
    <m/>
    <x v="0"/>
    <m/>
    <m/>
    <n v="34"/>
    <n v="34"/>
    <n v="38.25"/>
  </r>
  <r>
    <x v="17"/>
    <x v="1"/>
    <x v="6"/>
    <x v="142"/>
    <x v="21"/>
    <x v="1"/>
    <n v="2.2200000000000002"/>
    <n v="0"/>
    <x v="10"/>
    <m/>
    <x v="0"/>
    <m/>
    <m/>
    <n v="38"/>
    <n v="38"/>
    <n v="42.75"/>
  </r>
  <r>
    <x v="17"/>
    <x v="1"/>
    <x v="6"/>
    <x v="143"/>
    <x v="21"/>
    <x v="1"/>
    <n v="2.72"/>
    <n v="0"/>
    <x v="10"/>
    <m/>
    <x v="0"/>
    <m/>
    <m/>
    <n v="46"/>
    <n v="46"/>
    <n v="51.749999999999993"/>
  </r>
  <r>
    <x v="17"/>
    <x v="1"/>
    <x v="6"/>
    <x v="144"/>
    <x v="21"/>
    <x v="1"/>
    <n v="2.58"/>
    <n v="0"/>
    <x v="10"/>
    <m/>
    <x v="0"/>
    <m/>
    <m/>
    <n v="44"/>
    <n v="44"/>
    <n v="49.5"/>
  </r>
  <r>
    <x v="17"/>
    <x v="1"/>
    <x v="6"/>
    <x v="145"/>
    <x v="21"/>
    <x v="1"/>
    <n v="7.81"/>
    <n v="0"/>
    <x v="10"/>
    <m/>
    <x v="0"/>
    <m/>
    <m/>
    <n v="132"/>
    <n v="132"/>
    <n v="148.5"/>
  </r>
  <r>
    <x v="17"/>
    <x v="1"/>
    <x v="6"/>
    <x v="146"/>
    <x v="21"/>
    <x v="1"/>
    <n v="2.98"/>
    <n v="0"/>
    <x v="10"/>
    <m/>
    <x v="0"/>
    <m/>
    <m/>
    <n v="51"/>
    <n v="51"/>
    <n v="57.374999999999993"/>
  </r>
  <r>
    <x v="17"/>
    <x v="1"/>
    <x v="6"/>
    <x v="168"/>
    <x v="21"/>
    <x v="1"/>
    <n v="2.89"/>
    <n v="0"/>
    <x v="10"/>
    <m/>
    <x v="0"/>
    <m/>
    <m/>
    <n v="49"/>
    <n v="49"/>
    <n v="55.125"/>
  </r>
  <r>
    <x v="17"/>
    <x v="1"/>
    <x v="6"/>
    <x v="397"/>
    <x v="21"/>
    <x v="1"/>
    <n v="2.83"/>
    <n v="0"/>
    <x v="10"/>
    <m/>
    <x v="0"/>
    <m/>
    <m/>
    <n v="48"/>
    <n v="48"/>
    <n v="54"/>
  </r>
  <r>
    <x v="17"/>
    <x v="1"/>
    <x v="6"/>
    <x v="169"/>
    <x v="21"/>
    <x v="1"/>
    <n v="2.64"/>
    <n v="0"/>
    <x v="10"/>
    <m/>
    <x v="0"/>
    <m/>
    <m/>
    <n v="45"/>
    <n v="45"/>
    <n v="50.625"/>
  </r>
  <r>
    <x v="17"/>
    <x v="1"/>
    <x v="6"/>
    <x v="170"/>
    <x v="21"/>
    <x v="1"/>
    <n v="1.24"/>
    <n v="0"/>
    <x v="10"/>
    <m/>
    <x v="0"/>
    <m/>
    <m/>
    <n v="21"/>
    <n v="21"/>
    <n v="23.624999999999996"/>
  </r>
  <r>
    <x v="17"/>
    <x v="1"/>
    <x v="6"/>
    <x v="398"/>
    <x v="21"/>
    <x v="1"/>
    <n v="1.1499999999999999"/>
    <n v="0"/>
    <x v="10"/>
    <m/>
    <x v="0"/>
    <m/>
    <m/>
    <n v="20"/>
    <n v="20"/>
    <n v="22.5"/>
  </r>
  <r>
    <x v="17"/>
    <x v="1"/>
    <x v="6"/>
    <x v="171"/>
    <x v="21"/>
    <x v="1"/>
    <n v="4.59"/>
    <n v="0"/>
    <x v="10"/>
    <m/>
    <x v="0"/>
    <m/>
    <m/>
    <n v="78"/>
    <n v="78"/>
    <n v="87.75"/>
  </r>
  <r>
    <x v="17"/>
    <x v="1"/>
    <x v="6"/>
    <x v="399"/>
    <x v="21"/>
    <x v="1"/>
    <n v="4.04"/>
    <n v="0"/>
    <x v="10"/>
    <m/>
    <x v="0"/>
    <m/>
    <m/>
    <n v="68"/>
    <n v="68"/>
    <n v="76.5"/>
  </r>
  <r>
    <x v="17"/>
    <x v="1"/>
    <x v="6"/>
    <x v="172"/>
    <x v="21"/>
    <x v="1"/>
    <n v="2.33"/>
    <n v="0"/>
    <x v="10"/>
    <m/>
    <x v="0"/>
    <m/>
    <m/>
    <n v="40"/>
    <n v="40"/>
    <n v="45"/>
  </r>
  <r>
    <x v="17"/>
    <x v="1"/>
    <x v="6"/>
    <x v="147"/>
    <x v="21"/>
    <x v="1"/>
    <n v="2.46"/>
    <n v="0"/>
    <x v="10"/>
    <m/>
    <x v="0"/>
    <m/>
    <m/>
    <n v="42"/>
    <n v="42"/>
    <n v="47.249999999999993"/>
  </r>
  <r>
    <x v="17"/>
    <x v="1"/>
    <x v="6"/>
    <x v="173"/>
    <x v="21"/>
    <x v="1"/>
    <n v="5.89"/>
    <n v="0"/>
    <x v="10"/>
    <m/>
    <x v="0"/>
    <m/>
    <m/>
    <n v="100"/>
    <n v="100"/>
    <n v="112.5"/>
  </r>
  <r>
    <x v="17"/>
    <x v="1"/>
    <x v="6"/>
    <x v="174"/>
    <x v="21"/>
    <x v="1"/>
    <n v="5.61"/>
    <n v="0"/>
    <x v="10"/>
    <m/>
    <x v="0"/>
    <m/>
    <m/>
    <n v="95"/>
    <n v="95"/>
    <n v="106.875"/>
  </r>
  <r>
    <x v="17"/>
    <x v="1"/>
    <x v="6"/>
    <x v="148"/>
    <x v="21"/>
    <x v="1"/>
    <n v="7.57"/>
    <n v="0"/>
    <x v="10"/>
    <m/>
    <x v="0"/>
    <m/>
    <m/>
    <n v="128"/>
    <n v="128"/>
    <n v="144"/>
  </r>
  <r>
    <x v="17"/>
    <x v="1"/>
    <x v="6"/>
    <x v="175"/>
    <x v="21"/>
    <x v="1"/>
    <n v="8.51"/>
    <n v="0"/>
    <x v="10"/>
    <m/>
    <x v="0"/>
    <m/>
    <m/>
    <n v="144"/>
    <n v="144"/>
    <n v="161.99999999999997"/>
  </r>
  <r>
    <x v="17"/>
    <x v="1"/>
    <x v="6"/>
    <x v="150"/>
    <x v="21"/>
    <x v="1"/>
    <n v="8.42"/>
    <n v="0"/>
    <x v="10"/>
    <m/>
    <x v="0"/>
    <m/>
    <m/>
    <n v="142"/>
    <n v="142"/>
    <n v="159.75"/>
  </r>
  <r>
    <x v="17"/>
    <x v="1"/>
    <x v="6"/>
    <x v="176"/>
    <x v="21"/>
    <x v="1"/>
    <n v="4.5999999999999996"/>
    <n v="0"/>
    <x v="10"/>
    <m/>
    <x v="0"/>
    <m/>
    <m/>
    <n v="78"/>
    <n v="78"/>
    <n v="87.75"/>
  </r>
  <r>
    <x v="17"/>
    <x v="1"/>
    <x v="6"/>
    <x v="151"/>
    <x v="21"/>
    <x v="1"/>
    <n v="4.6399999999999997"/>
    <n v="0"/>
    <x v="10"/>
    <m/>
    <x v="0"/>
    <m/>
    <m/>
    <n v="79"/>
    <n v="79"/>
    <n v="88.874999999999986"/>
  </r>
  <r>
    <x v="17"/>
    <x v="1"/>
    <x v="6"/>
    <x v="152"/>
    <x v="21"/>
    <x v="1"/>
    <n v="4.04"/>
    <n v="0"/>
    <x v="10"/>
    <m/>
    <x v="0"/>
    <m/>
    <m/>
    <n v="68"/>
    <n v="68"/>
    <n v="76.5"/>
  </r>
  <r>
    <x v="17"/>
    <x v="1"/>
    <x v="6"/>
    <x v="153"/>
    <x v="21"/>
    <x v="1"/>
    <n v="3.22"/>
    <n v="0"/>
    <x v="10"/>
    <m/>
    <x v="0"/>
    <m/>
    <m/>
    <n v="55"/>
    <n v="55"/>
    <n v="61.875"/>
  </r>
  <r>
    <x v="17"/>
    <x v="1"/>
    <x v="6"/>
    <x v="154"/>
    <x v="21"/>
    <x v="1"/>
    <n v="3.28"/>
    <n v="0"/>
    <x v="10"/>
    <m/>
    <x v="0"/>
    <m/>
    <m/>
    <n v="56"/>
    <n v="56"/>
    <n v="62.999999999999993"/>
  </r>
  <r>
    <x v="17"/>
    <x v="1"/>
    <x v="6"/>
    <x v="149"/>
    <x v="21"/>
    <x v="1"/>
    <n v="7.66"/>
    <n v="0"/>
    <x v="10"/>
    <m/>
    <x v="0"/>
    <m/>
    <m/>
    <n v="129"/>
    <n v="129"/>
    <n v="145.12499999999997"/>
  </r>
  <r>
    <x v="17"/>
    <x v="0"/>
    <x v="0"/>
    <x v="291"/>
    <x v="3"/>
    <x v="1"/>
    <n v="31.38"/>
    <n v="2.86"/>
    <x v="10"/>
    <m/>
    <x v="0"/>
    <m/>
    <m/>
    <n v="2665"/>
    <n v="2265.25"/>
    <n v="2548.4062499999995"/>
  </r>
  <r>
    <x v="17"/>
    <x v="0"/>
    <x v="0"/>
    <x v="237"/>
    <x v="0"/>
    <x v="1"/>
    <n v="31.38"/>
    <n v="2.86"/>
    <x v="10"/>
    <m/>
    <x v="0"/>
    <m/>
    <m/>
    <n v="2677"/>
    <n v="2275.4499999999998"/>
    <n v="2559.8812499999995"/>
  </r>
  <r>
    <x v="17"/>
    <x v="0"/>
    <x v="0"/>
    <x v="299"/>
    <x v="0"/>
    <x v="1"/>
    <n v="31.38"/>
    <n v="2.86"/>
    <x v="10"/>
    <m/>
    <x v="0"/>
    <m/>
    <m/>
    <n v="2677"/>
    <n v="2275.4499999999998"/>
    <n v="2559.8812499999995"/>
  </r>
  <r>
    <x v="17"/>
    <x v="0"/>
    <x v="0"/>
    <x v="515"/>
    <x v="4"/>
    <x v="1"/>
    <n v="31.38"/>
    <n v="2.86"/>
    <x v="10"/>
    <m/>
    <x v="0"/>
    <m/>
    <m/>
    <n v="2689"/>
    <n v="2285.65"/>
    <n v="2571.3562499999998"/>
  </r>
  <r>
    <x v="17"/>
    <x v="0"/>
    <x v="0"/>
    <x v="305"/>
    <x v="4"/>
    <x v="1"/>
    <n v="31.38"/>
    <n v="2.86"/>
    <x v="10"/>
    <m/>
    <x v="0"/>
    <m/>
    <m/>
    <n v="2689"/>
    <n v="2285.65"/>
    <n v="2571.3562499999998"/>
  </r>
  <r>
    <x v="17"/>
    <x v="0"/>
    <x v="0"/>
    <x v="531"/>
    <x v="7"/>
    <x v="1"/>
    <n v="31.38"/>
    <n v="2.86"/>
    <x v="10"/>
    <m/>
    <x v="0"/>
    <m/>
    <m/>
    <n v="2700"/>
    <n v="2295"/>
    <n v="2581.875"/>
  </r>
  <r>
    <x v="17"/>
    <x v="0"/>
    <x v="0"/>
    <x v="313"/>
    <x v="7"/>
    <x v="1"/>
    <n v="31.38"/>
    <n v="2.86"/>
    <x v="10"/>
    <m/>
    <x v="0"/>
    <m/>
    <m/>
    <n v="2700"/>
    <n v="2295"/>
    <n v="2581.875"/>
  </r>
  <r>
    <x v="17"/>
    <x v="0"/>
    <x v="0"/>
    <x v="533"/>
    <x v="8"/>
    <x v="1"/>
    <n v="31.38"/>
    <n v="2.86"/>
    <x v="10"/>
    <m/>
    <x v="0"/>
    <m/>
    <m/>
    <n v="2712"/>
    <n v="2305.1999999999998"/>
    <n v="2593.3499999999995"/>
  </r>
  <r>
    <x v="17"/>
    <x v="0"/>
    <x v="0"/>
    <x v="321"/>
    <x v="8"/>
    <x v="1"/>
    <n v="31.38"/>
    <n v="2.86"/>
    <x v="10"/>
    <m/>
    <x v="0"/>
    <m/>
    <m/>
    <n v="2712"/>
    <n v="2305.1999999999998"/>
    <n v="2593.3499999999995"/>
  </r>
  <r>
    <x v="17"/>
    <x v="0"/>
    <x v="0"/>
    <x v="391"/>
    <x v="9"/>
    <x v="1"/>
    <n v="31.38"/>
    <n v="2.86"/>
    <x v="10"/>
    <m/>
    <x v="0"/>
    <m/>
    <m/>
    <n v="2724"/>
    <n v="2315.4"/>
    <n v="2604.8249999999998"/>
  </r>
  <r>
    <x v="17"/>
    <x v="0"/>
    <x v="0"/>
    <x v="329"/>
    <x v="9"/>
    <x v="1"/>
    <n v="31.38"/>
    <n v="2.86"/>
    <x v="10"/>
    <m/>
    <x v="0"/>
    <m/>
    <m/>
    <n v="2724"/>
    <n v="2315.4"/>
    <n v="2604.8249999999998"/>
  </r>
  <r>
    <x v="17"/>
    <x v="0"/>
    <x v="0"/>
    <x v="6"/>
    <x v="5"/>
    <x v="1"/>
    <n v="31.38"/>
    <n v="2.86"/>
    <x v="10"/>
    <m/>
    <x v="0"/>
    <m/>
    <m/>
    <n v="2736"/>
    <n v="2325.6"/>
    <n v="2616.2999999999997"/>
  </r>
  <r>
    <x v="17"/>
    <x v="0"/>
    <x v="0"/>
    <x v="18"/>
    <x v="5"/>
    <x v="1"/>
    <n v="31.38"/>
    <n v="2.86"/>
    <x v="10"/>
    <m/>
    <x v="0"/>
    <m/>
    <m/>
    <n v="2736"/>
    <n v="2325.6"/>
    <n v="2616.2999999999997"/>
  </r>
  <r>
    <x v="17"/>
    <x v="0"/>
    <x v="0"/>
    <x v="393"/>
    <x v="10"/>
    <x v="1"/>
    <n v="31.38"/>
    <n v="2.86"/>
    <x v="10"/>
    <m/>
    <x v="0"/>
    <m/>
    <m/>
    <n v="2748"/>
    <n v="2335.7999999999997"/>
    <n v="2627.7749999999996"/>
  </r>
  <r>
    <x v="17"/>
    <x v="0"/>
    <x v="0"/>
    <x v="22"/>
    <x v="10"/>
    <x v="1"/>
    <n v="31.38"/>
    <n v="2.86"/>
    <x v="10"/>
    <m/>
    <x v="0"/>
    <m/>
    <m/>
    <n v="2748"/>
    <n v="2335.7999999999997"/>
    <n v="2627.7749999999996"/>
  </r>
  <r>
    <x v="17"/>
    <x v="0"/>
    <x v="0"/>
    <x v="395"/>
    <x v="11"/>
    <x v="1"/>
    <n v="31.38"/>
    <n v="2.86"/>
    <x v="10"/>
    <m/>
    <x v="0"/>
    <m/>
    <m/>
    <n v="2759"/>
    <n v="2345.15"/>
    <n v="2638.2937500000003"/>
  </r>
  <r>
    <x v="17"/>
    <x v="0"/>
    <x v="0"/>
    <x v="27"/>
    <x v="11"/>
    <x v="1"/>
    <n v="31.38"/>
    <n v="2.86"/>
    <x v="10"/>
    <m/>
    <x v="0"/>
    <m/>
    <m/>
    <n v="2759"/>
    <n v="2345.15"/>
    <n v="2638.2937500000003"/>
  </r>
  <r>
    <x v="17"/>
    <x v="0"/>
    <x v="0"/>
    <x v="558"/>
    <x v="12"/>
    <x v="1"/>
    <n v="31.38"/>
    <n v="2.86"/>
    <x v="10"/>
    <m/>
    <x v="0"/>
    <m/>
    <m/>
    <n v="2771"/>
    <n v="2355.35"/>
    <n v="2649.7687499999997"/>
  </r>
  <r>
    <x v="17"/>
    <x v="0"/>
    <x v="0"/>
    <x v="31"/>
    <x v="12"/>
    <x v="1"/>
    <n v="31.38"/>
    <n v="2.86"/>
    <x v="10"/>
    <m/>
    <x v="0"/>
    <m/>
    <m/>
    <n v="2771"/>
    <n v="2355.35"/>
    <n v="2649.7687499999997"/>
  </r>
  <r>
    <x v="17"/>
    <x v="0"/>
    <x v="3"/>
    <x v="236"/>
    <x v="3"/>
    <x v="1"/>
    <n v="37.840000000000003"/>
    <n v="2.2400000000000002"/>
    <x v="10"/>
    <m/>
    <x v="0"/>
    <m/>
    <m/>
    <n v="2842"/>
    <n v="2415.6999999999998"/>
    <n v="2717.6624999999995"/>
  </r>
  <r>
    <x v="17"/>
    <x v="0"/>
    <x v="3"/>
    <x v="439"/>
    <x v="3"/>
    <x v="1"/>
    <n v="37.36"/>
    <n v="2.2400000000000002"/>
    <x v="10"/>
    <m/>
    <x v="0"/>
    <m/>
    <m/>
    <n v="2842"/>
    <n v="2415.6999999999998"/>
    <n v="2717.6624999999995"/>
  </r>
  <r>
    <x v="17"/>
    <x v="0"/>
    <x v="3"/>
    <x v="292"/>
    <x v="3"/>
    <x v="1"/>
    <n v="37.36"/>
    <n v="2.2400000000000002"/>
    <x v="10"/>
    <m/>
    <x v="0"/>
    <m/>
    <m/>
    <n v="2842"/>
    <n v="2415.6999999999998"/>
    <n v="2717.6624999999995"/>
  </r>
  <r>
    <x v="17"/>
    <x v="0"/>
    <x v="3"/>
    <x v="370"/>
    <x v="3"/>
    <x v="1"/>
    <n v="38.04"/>
    <n v="2.2400000000000002"/>
    <x v="10"/>
    <m/>
    <x v="0"/>
    <m/>
    <m/>
    <n v="2842"/>
    <n v="2415.6999999999998"/>
    <n v="2717.6624999999995"/>
  </r>
  <r>
    <x v="17"/>
    <x v="0"/>
    <x v="3"/>
    <x v="294"/>
    <x v="3"/>
    <x v="1"/>
    <n v="37.36"/>
    <n v="2.2400000000000002"/>
    <x v="10"/>
    <m/>
    <x v="0"/>
    <m/>
    <m/>
    <n v="2818"/>
    <n v="2395.2999999999997"/>
    <n v="2694.7124999999992"/>
  </r>
  <r>
    <x v="17"/>
    <x v="0"/>
    <x v="3"/>
    <x v="352"/>
    <x v="3"/>
    <x v="1"/>
    <n v="39.89"/>
    <n v="2.69"/>
    <x v="10"/>
    <m/>
    <x v="0"/>
    <m/>
    <m/>
    <n v="2795"/>
    <n v="2375.75"/>
    <n v="2672.71875"/>
  </r>
  <r>
    <x v="17"/>
    <x v="0"/>
    <x v="3"/>
    <x v="372"/>
    <x v="0"/>
    <x v="1"/>
    <n v="37.840000000000003"/>
    <n v="2.2400000000000002"/>
    <x v="10"/>
    <m/>
    <x v="0"/>
    <m/>
    <m/>
    <n v="2853"/>
    <n v="2425.0499999999997"/>
    <n v="2728.1812499999992"/>
  </r>
  <r>
    <x v="17"/>
    <x v="0"/>
    <x v="3"/>
    <x v="279"/>
    <x v="0"/>
    <x v="1"/>
    <n v="37.36"/>
    <n v="2.2400000000000002"/>
    <x v="10"/>
    <m/>
    <x v="0"/>
    <m/>
    <m/>
    <n v="2853"/>
    <n v="2425.0499999999997"/>
    <n v="2728.1812499999992"/>
  </r>
  <r>
    <x v="17"/>
    <x v="0"/>
    <x v="3"/>
    <x v="300"/>
    <x v="0"/>
    <x v="1"/>
    <n v="37.36"/>
    <n v="2.2400000000000002"/>
    <x v="10"/>
    <m/>
    <x v="0"/>
    <m/>
    <m/>
    <n v="2853"/>
    <n v="2425.0499999999997"/>
    <n v="2728.1812499999992"/>
  </r>
  <r>
    <x v="17"/>
    <x v="0"/>
    <x v="3"/>
    <x v="402"/>
    <x v="0"/>
    <x v="1"/>
    <n v="38.04"/>
    <n v="2.2400000000000002"/>
    <x v="10"/>
    <m/>
    <x v="0"/>
    <m/>
    <m/>
    <n v="2853"/>
    <n v="2425.0499999999997"/>
    <n v="2728.1812499999992"/>
  </r>
  <r>
    <x v="17"/>
    <x v="0"/>
    <x v="3"/>
    <x v="229"/>
    <x v="0"/>
    <x v="1"/>
    <n v="37.36"/>
    <n v="2.2400000000000002"/>
    <x v="10"/>
    <m/>
    <x v="0"/>
    <m/>
    <m/>
    <n v="2830"/>
    <n v="2405.5"/>
    <n v="2706.1874999999995"/>
  </r>
  <r>
    <x v="17"/>
    <x v="0"/>
    <x v="3"/>
    <x v="355"/>
    <x v="0"/>
    <x v="1"/>
    <n v="39.89"/>
    <n v="2.69"/>
    <x v="10"/>
    <m/>
    <x v="0"/>
    <m/>
    <m/>
    <n v="2806"/>
    <n v="2385.1"/>
    <n v="2683.2375000000002"/>
  </r>
  <r>
    <x v="17"/>
    <x v="0"/>
    <x v="3"/>
    <x v="8"/>
    <x v="4"/>
    <x v="1"/>
    <n v="37.840000000000003"/>
    <n v="2.2400000000000002"/>
    <x v="10"/>
    <m/>
    <x v="0"/>
    <m/>
    <m/>
    <n v="2865"/>
    <n v="2435.25"/>
    <n v="2739.6562499999995"/>
  </r>
  <r>
    <x v="17"/>
    <x v="0"/>
    <x v="3"/>
    <x v="281"/>
    <x v="4"/>
    <x v="1"/>
    <n v="37.36"/>
    <n v="2.2400000000000002"/>
    <x v="10"/>
    <m/>
    <x v="0"/>
    <m/>
    <m/>
    <n v="2865"/>
    <n v="2435.25"/>
    <n v="2739.6562499999995"/>
  </r>
  <r>
    <x v="17"/>
    <x v="0"/>
    <x v="3"/>
    <x v="306"/>
    <x v="4"/>
    <x v="1"/>
    <n v="37.36"/>
    <n v="2.2400000000000002"/>
    <x v="10"/>
    <m/>
    <x v="0"/>
    <m/>
    <m/>
    <n v="2865"/>
    <n v="2435.25"/>
    <n v="2739.6562499999995"/>
  </r>
  <r>
    <x v="17"/>
    <x v="0"/>
    <x v="3"/>
    <x v="375"/>
    <x v="4"/>
    <x v="1"/>
    <n v="38.04"/>
    <n v="2.2400000000000002"/>
    <x v="10"/>
    <m/>
    <x v="0"/>
    <m/>
    <m/>
    <n v="2865"/>
    <n v="2435.25"/>
    <n v="2739.6562499999995"/>
  </r>
  <r>
    <x v="17"/>
    <x v="0"/>
    <x v="3"/>
    <x v="308"/>
    <x v="4"/>
    <x v="1"/>
    <n v="37.36"/>
    <n v="2.2400000000000002"/>
    <x v="10"/>
    <m/>
    <x v="0"/>
    <m/>
    <m/>
    <n v="2842"/>
    <n v="2415.6999999999998"/>
    <n v="2717.6624999999995"/>
  </r>
  <r>
    <x v="17"/>
    <x v="0"/>
    <x v="3"/>
    <x v="358"/>
    <x v="4"/>
    <x v="1"/>
    <n v="39.89"/>
    <n v="2.69"/>
    <x v="10"/>
    <m/>
    <x v="0"/>
    <m/>
    <m/>
    <n v="2818"/>
    <n v="2395.2999999999997"/>
    <n v="2694.7124999999992"/>
  </r>
  <r>
    <x v="17"/>
    <x v="0"/>
    <x v="3"/>
    <x v="377"/>
    <x v="7"/>
    <x v="1"/>
    <n v="37.840000000000003"/>
    <n v="2.2400000000000002"/>
    <x v="10"/>
    <m/>
    <x v="0"/>
    <m/>
    <m/>
    <n v="2877"/>
    <n v="2445.4499999999998"/>
    <n v="2751.1312499999995"/>
  </r>
  <r>
    <x v="17"/>
    <x v="0"/>
    <x v="3"/>
    <x v="283"/>
    <x v="7"/>
    <x v="1"/>
    <n v="37.36"/>
    <n v="2.2400000000000002"/>
    <x v="10"/>
    <m/>
    <x v="0"/>
    <m/>
    <m/>
    <n v="2877"/>
    <n v="2445.4499999999998"/>
    <n v="2751.1312499999995"/>
  </r>
  <r>
    <x v="17"/>
    <x v="0"/>
    <x v="3"/>
    <x v="314"/>
    <x v="7"/>
    <x v="1"/>
    <n v="37.36"/>
    <n v="2.2400000000000002"/>
    <x v="10"/>
    <m/>
    <x v="0"/>
    <m/>
    <m/>
    <n v="2877"/>
    <n v="2445.4499999999998"/>
    <n v="2751.1312499999995"/>
  </r>
  <r>
    <x v="17"/>
    <x v="0"/>
    <x v="3"/>
    <x v="532"/>
    <x v="7"/>
    <x v="1"/>
    <n v="38.04"/>
    <n v="2.2400000000000002"/>
    <x v="10"/>
    <m/>
    <x v="0"/>
    <m/>
    <m/>
    <n v="2877"/>
    <n v="2445.4499999999998"/>
    <n v="2751.1312499999995"/>
  </r>
  <r>
    <x v="17"/>
    <x v="0"/>
    <x v="3"/>
    <x v="11"/>
    <x v="7"/>
    <x v="1"/>
    <n v="37.36"/>
    <n v="2.2400000000000002"/>
    <x v="10"/>
    <m/>
    <x v="0"/>
    <m/>
    <m/>
    <n v="2853"/>
    <n v="2425.0499999999997"/>
    <n v="2728.1812499999992"/>
  </r>
  <r>
    <x v="17"/>
    <x v="0"/>
    <x v="3"/>
    <x v="360"/>
    <x v="7"/>
    <x v="1"/>
    <n v="39.89"/>
    <n v="2.69"/>
    <x v="10"/>
    <m/>
    <x v="0"/>
    <m/>
    <m/>
    <n v="2830"/>
    <n v="2405.5"/>
    <n v="2706.1874999999995"/>
  </r>
  <r>
    <x v="17"/>
    <x v="0"/>
    <x v="3"/>
    <x v="379"/>
    <x v="8"/>
    <x v="1"/>
    <n v="37.840000000000003"/>
    <n v="2.2400000000000002"/>
    <x v="10"/>
    <m/>
    <x v="0"/>
    <m/>
    <m/>
    <n v="2889"/>
    <n v="2455.65"/>
    <n v="2762.6062499999998"/>
  </r>
  <r>
    <x v="17"/>
    <x v="0"/>
    <x v="3"/>
    <x v="285"/>
    <x v="8"/>
    <x v="1"/>
    <n v="37.36"/>
    <n v="2.2400000000000002"/>
    <x v="10"/>
    <m/>
    <x v="0"/>
    <m/>
    <m/>
    <n v="2889"/>
    <n v="2455.65"/>
    <n v="2762.6062499999998"/>
  </r>
  <r>
    <x v="17"/>
    <x v="0"/>
    <x v="3"/>
    <x v="322"/>
    <x v="8"/>
    <x v="1"/>
    <n v="37.36"/>
    <n v="2.2400000000000002"/>
    <x v="10"/>
    <m/>
    <x v="0"/>
    <m/>
    <m/>
    <n v="2889"/>
    <n v="2455.65"/>
    <n v="2762.6062499999998"/>
  </r>
  <r>
    <x v="17"/>
    <x v="0"/>
    <x v="3"/>
    <x v="380"/>
    <x v="8"/>
    <x v="1"/>
    <n v="38.04"/>
    <n v="2.2400000000000002"/>
    <x v="10"/>
    <m/>
    <x v="0"/>
    <m/>
    <m/>
    <n v="2889"/>
    <n v="2455.65"/>
    <n v="2762.6062499999998"/>
  </r>
  <r>
    <x v="17"/>
    <x v="0"/>
    <x v="3"/>
    <x v="13"/>
    <x v="8"/>
    <x v="1"/>
    <n v="37.36"/>
    <n v="2.2400000000000002"/>
    <x v="10"/>
    <m/>
    <x v="0"/>
    <m/>
    <m/>
    <n v="2865"/>
    <n v="2435.25"/>
    <n v="2739.6562499999995"/>
  </r>
  <r>
    <x v="17"/>
    <x v="0"/>
    <x v="3"/>
    <x v="361"/>
    <x v="8"/>
    <x v="1"/>
    <n v="39.89"/>
    <n v="2.69"/>
    <x v="10"/>
    <m/>
    <x v="0"/>
    <m/>
    <m/>
    <n v="2842"/>
    <n v="2415.6999999999998"/>
    <n v="2717.6624999999995"/>
  </r>
  <r>
    <x v="17"/>
    <x v="0"/>
    <x v="3"/>
    <x v="14"/>
    <x v="9"/>
    <x v="1"/>
    <n v="37.840000000000003"/>
    <n v="2.2400000000000002"/>
    <x v="10"/>
    <m/>
    <x v="0"/>
    <m/>
    <m/>
    <n v="2900"/>
    <n v="2465"/>
    <n v="2773.125"/>
  </r>
  <r>
    <x v="17"/>
    <x v="0"/>
    <x v="3"/>
    <x v="286"/>
    <x v="9"/>
    <x v="1"/>
    <n v="37.36"/>
    <n v="2.2400000000000002"/>
    <x v="10"/>
    <m/>
    <x v="0"/>
    <m/>
    <m/>
    <n v="2900"/>
    <n v="2465"/>
    <n v="2773.125"/>
  </r>
  <r>
    <x v="17"/>
    <x v="0"/>
    <x v="3"/>
    <x v="330"/>
    <x v="9"/>
    <x v="1"/>
    <n v="37.36"/>
    <n v="2.2400000000000002"/>
    <x v="10"/>
    <m/>
    <x v="0"/>
    <m/>
    <m/>
    <n v="2900"/>
    <n v="2465"/>
    <n v="2773.125"/>
  </r>
  <r>
    <x v="17"/>
    <x v="0"/>
    <x v="3"/>
    <x v="239"/>
    <x v="9"/>
    <x v="1"/>
    <n v="38.04"/>
    <n v="2.2400000000000002"/>
    <x v="10"/>
    <m/>
    <x v="0"/>
    <m/>
    <m/>
    <n v="2900"/>
    <n v="2465"/>
    <n v="2773.125"/>
  </r>
  <r>
    <x v="17"/>
    <x v="0"/>
    <x v="3"/>
    <x v="16"/>
    <x v="9"/>
    <x v="1"/>
    <n v="37.36"/>
    <n v="2.2400000000000002"/>
    <x v="10"/>
    <m/>
    <x v="0"/>
    <m/>
    <m/>
    <n v="2877"/>
    <n v="2445.4499999999998"/>
    <n v="2751.1312499999995"/>
  </r>
  <r>
    <x v="17"/>
    <x v="0"/>
    <x v="3"/>
    <x v="260"/>
    <x v="9"/>
    <x v="1"/>
    <n v="39.89"/>
    <n v="2.69"/>
    <x v="10"/>
    <m/>
    <x v="0"/>
    <m/>
    <m/>
    <n v="2853"/>
    <n v="2425.0499999999997"/>
    <n v="2728.1812499999992"/>
  </r>
  <r>
    <x v="17"/>
    <x v="0"/>
    <x v="3"/>
    <x v="17"/>
    <x v="5"/>
    <x v="1"/>
    <n v="37.840000000000003"/>
    <n v="2.2400000000000002"/>
    <x v="10"/>
    <m/>
    <x v="0"/>
    <m/>
    <m/>
    <n v="2912"/>
    <n v="2475.1999999999998"/>
    <n v="2784.5999999999995"/>
  </r>
  <r>
    <x v="17"/>
    <x v="0"/>
    <x v="3"/>
    <x v="287"/>
    <x v="5"/>
    <x v="1"/>
    <n v="37.36"/>
    <n v="2.2400000000000002"/>
    <x v="10"/>
    <m/>
    <x v="0"/>
    <m/>
    <m/>
    <n v="2912"/>
    <n v="2475.1999999999998"/>
    <n v="2784.5999999999995"/>
  </r>
  <r>
    <x v="17"/>
    <x v="0"/>
    <x v="3"/>
    <x v="337"/>
    <x v="5"/>
    <x v="1"/>
    <n v="37.36"/>
    <n v="2.2400000000000002"/>
    <x v="10"/>
    <m/>
    <x v="0"/>
    <m/>
    <m/>
    <n v="2912"/>
    <n v="2475.1999999999998"/>
    <n v="2784.5999999999995"/>
  </r>
  <r>
    <x v="17"/>
    <x v="0"/>
    <x v="3"/>
    <x v="382"/>
    <x v="5"/>
    <x v="1"/>
    <n v="38.04"/>
    <n v="2.2400000000000002"/>
    <x v="10"/>
    <m/>
    <x v="0"/>
    <m/>
    <m/>
    <n v="2912"/>
    <n v="2475.1999999999998"/>
    <n v="2784.5999999999995"/>
  </r>
  <r>
    <x v="17"/>
    <x v="0"/>
    <x v="3"/>
    <x v="20"/>
    <x v="5"/>
    <x v="1"/>
    <n v="37.36"/>
    <n v="2.2400000000000002"/>
    <x v="10"/>
    <m/>
    <x v="0"/>
    <m/>
    <m/>
    <n v="2889"/>
    <n v="2455.65"/>
    <n v="2762.6062499999998"/>
  </r>
  <r>
    <x v="17"/>
    <x v="0"/>
    <x v="3"/>
    <x v="265"/>
    <x v="5"/>
    <x v="1"/>
    <n v="39.89"/>
    <n v="2.69"/>
    <x v="10"/>
    <m/>
    <x v="0"/>
    <m/>
    <m/>
    <n v="2865"/>
    <n v="2435.25"/>
    <n v="2739.6562499999995"/>
  </r>
  <r>
    <x v="17"/>
    <x v="0"/>
    <x v="3"/>
    <x v="21"/>
    <x v="10"/>
    <x v="1"/>
    <n v="37.840000000000003"/>
    <n v="2.2400000000000002"/>
    <x v="10"/>
    <m/>
    <x v="0"/>
    <m/>
    <m/>
    <n v="2924"/>
    <n v="2485.4"/>
    <n v="2796.0749999999998"/>
  </r>
  <r>
    <x v="17"/>
    <x v="0"/>
    <x v="3"/>
    <x v="288"/>
    <x v="10"/>
    <x v="1"/>
    <n v="37.36"/>
    <n v="2.2400000000000002"/>
    <x v="10"/>
    <m/>
    <x v="0"/>
    <m/>
    <m/>
    <n v="2924"/>
    <n v="2485.4"/>
    <n v="2796.0749999999998"/>
  </r>
  <r>
    <x v="17"/>
    <x v="0"/>
    <x v="3"/>
    <x v="341"/>
    <x v="10"/>
    <x v="1"/>
    <n v="37.36"/>
    <n v="2.2400000000000002"/>
    <x v="10"/>
    <m/>
    <x v="0"/>
    <m/>
    <m/>
    <n v="2924"/>
    <n v="2485.4"/>
    <n v="2796.0749999999998"/>
  </r>
  <r>
    <x v="17"/>
    <x v="0"/>
    <x v="3"/>
    <x v="384"/>
    <x v="10"/>
    <x v="1"/>
    <n v="38.04"/>
    <n v="2.2400000000000002"/>
    <x v="10"/>
    <m/>
    <x v="0"/>
    <m/>
    <m/>
    <n v="2924"/>
    <n v="2485.4"/>
    <n v="2796.0749999999998"/>
  </r>
  <r>
    <x v="17"/>
    <x v="0"/>
    <x v="3"/>
    <x v="24"/>
    <x v="10"/>
    <x v="1"/>
    <n v="37.36"/>
    <n v="2.2400000000000002"/>
    <x v="10"/>
    <m/>
    <x v="0"/>
    <m/>
    <m/>
    <n v="2900"/>
    <n v="2465"/>
    <n v="2773.125"/>
  </r>
  <r>
    <x v="17"/>
    <x v="0"/>
    <x v="3"/>
    <x v="365"/>
    <x v="10"/>
    <x v="1"/>
    <n v="39.89"/>
    <n v="2.69"/>
    <x v="10"/>
    <m/>
    <x v="0"/>
    <m/>
    <m/>
    <n v="2877"/>
    <n v="2445.4499999999998"/>
    <n v="2751.1312499999995"/>
  </r>
  <r>
    <x v="17"/>
    <x v="0"/>
    <x v="3"/>
    <x v="26"/>
    <x v="11"/>
    <x v="1"/>
    <n v="37.840000000000003"/>
    <n v="2.2400000000000002"/>
    <x v="10"/>
    <m/>
    <x v="0"/>
    <m/>
    <m/>
    <n v="2936"/>
    <n v="2495.6"/>
    <n v="2807.5499999999997"/>
  </r>
  <r>
    <x v="17"/>
    <x v="0"/>
    <x v="3"/>
    <x v="289"/>
    <x v="11"/>
    <x v="1"/>
    <n v="37.36"/>
    <n v="2.2400000000000002"/>
    <x v="10"/>
    <m/>
    <x v="0"/>
    <m/>
    <m/>
    <n v="2936"/>
    <n v="2495.6"/>
    <n v="2807.5499999999997"/>
  </r>
  <r>
    <x v="17"/>
    <x v="0"/>
    <x v="3"/>
    <x v="347"/>
    <x v="11"/>
    <x v="1"/>
    <n v="37.36"/>
    <n v="2.2400000000000002"/>
    <x v="10"/>
    <m/>
    <x v="0"/>
    <m/>
    <m/>
    <n v="2936"/>
    <n v="2495.6"/>
    <n v="2807.5499999999997"/>
  </r>
  <r>
    <x v="17"/>
    <x v="0"/>
    <x v="3"/>
    <x v="386"/>
    <x v="11"/>
    <x v="1"/>
    <n v="38.04"/>
    <n v="2.2400000000000002"/>
    <x v="10"/>
    <m/>
    <x v="0"/>
    <m/>
    <m/>
    <n v="2936"/>
    <n v="2495.6"/>
    <n v="2807.5499999999997"/>
  </r>
  <r>
    <x v="17"/>
    <x v="0"/>
    <x v="3"/>
    <x v="29"/>
    <x v="11"/>
    <x v="1"/>
    <n v="37.36"/>
    <n v="2.2400000000000002"/>
    <x v="10"/>
    <m/>
    <x v="0"/>
    <m/>
    <m/>
    <n v="2912"/>
    <n v="2475.1999999999998"/>
    <n v="2784.5999999999995"/>
  </r>
  <r>
    <x v="17"/>
    <x v="0"/>
    <x v="3"/>
    <x v="367"/>
    <x v="11"/>
    <x v="1"/>
    <n v="39.89"/>
    <n v="2.69"/>
    <x v="10"/>
    <m/>
    <x v="0"/>
    <m/>
    <m/>
    <n v="2889"/>
    <n v="2455.65"/>
    <n v="2762.6062499999998"/>
  </r>
  <r>
    <x v="17"/>
    <x v="0"/>
    <x v="3"/>
    <x v="400"/>
    <x v="12"/>
    <x v="1"/>
    <n v="37.840000000000003"/>
    <n v="2.2400000000000002"/>
    <x v="10"/>
    <m/>
    <x v="0"/>
    <m/>
    <m/>
    <n v="2948"/>
    <n v="2505.7999999999997"/>
    <n v="2819.0249999999996"/>
  </r>
  <r>
    <x v="17"/>
    <x v="0"/>
    <x v="3"/>
    <x v="536"/>
    <x v="12"/>
    <x v="1"/>
    <n v="37.36"/>
    <n v="2.2400000000000002"/>
    <x v="10"/>
    <m/>
    <x v="0"/>
    <m/>
    <m/>
    <n v="2948"/>
    <n v="2505.7999999999997"/>
    <n v="2819.0249999999996"/>
  </r>
  <r>
    <x v="17"/>
    <x v="0"/>
    <x v="3"/>
    <x v="674"/>
    <x v="12"/>
    <x v="1"/>
    <n v="37.36"/>
    <n v="2.2400000000000002"/>
    <x v="10"/>
    <m/>
    <x v="0"/>
    <m/>
    <m/>
    <n v="2948"/>
    <n v="2505.7999999999997"/>
    <n v="2819.0249999999996"/>
  </r>
  <r>
    <x v="17"/>
    <x v="0"/>
    <x v="3"/>
    <x v="559"/>
    <x v="12"/>
    <x v="1"/>
    <n v="38.04"/>
    <n v="2.2400000000000002"/>
    <x v="10"/>
    <m/>
    <x v="0"/>
    <m/>
    <m/>
    <n v="2948"/>
    <n v="2505.7999999999997"/>
    <n v="2819.0249999999996"/>
  </r>
  <r>
    <x v="17"/>
    <x v="0"/>
    <x v="3"/>
    <x v="33"/>
    <x v="12"/>
    <x v="1"/>
    <n v="37.36"/>
    <n v="2.2400000000000002"/>
    <x v="10"/>
    <m/>
    <x v="0"/>
    <m/>
    <m/>
    <n v="2924"/>
    <n v="2485.4"/>
    <n v="2796.0749999999998"/>
  </r>
  <r>
    <x v="17"/>
    <x v="0"/>
    <x v="3"/>
    <x v="547"/>
    <x v="12"/>
    <x v="1"/>
    <n v="39.89"/>
    <n v="2.69"/>
    <x v="10"/>
    <m/>
    <x v="0"/>
    <m/>
    <m/>
    <n v="2900"/>
    <n v="2465"/>
    <n v="2773.125"/>
  </r>
  <r>
    <x v="17"/>
    <x v="0"/>
    <x v="3"/>
    <x v="195"/>
    <x v="6"/>
    <x v="1"/>
    <n v="43.79"/>
    <n v="2.2400000000000002"/>
    <x v="10"/>
    <m/>
    <x v="0"/>
    <m/>
    <m/>
    <n v="2995"/>
    <n v="2545.75"/>
    <n v="2863.96875"/>
  </r>
  <r>
    <x v="17"/>
    <x v="0"/>
    <x v="3"/>
    <x v="290"/>
    <x v="3"/>
    <x v="1"/>
    <n v="43.31"/>
    <n v="2.2400000000000002"/>
    <x v="10"/>
    <m/>
    <x v="0"/>
    <m/>
    <m/>
    <n v="3053"/>
    <n v="2595.0499999999997"/>
    <n v="2919.4312499999992"/>
  </r>
  <r>
    <x v="17"/>
    <x v="0"/>
    <x v="3"/>
    <x v="406"/>
    <x v="3"/>
    <x v="1"/>
    <n v="43.79"/>
    <n v="2.2400000000000002"/>
    <x v="10"/>
    <m/>
    <x v="0"/>
    <m/>
    <m/>
    <n v="3053"/>
    <n v="2595.0499999999997"/>
    <n v="2919.4312499999992"/>
  </r>
  <r>
    <x v="17"/>
    <x v="0"/>
    <x v="3"/>
    <x v="293"/>
    <x v="3"/>
    <x v="1"/>
    <n v="43.31"/>
    <n v="2.2400000000000002"/>
    <x v="10"/>
    <m/>
    <x v="0"/>
    <m/>
    <m/>
    <n v="3112"/>
    <n v="2645.2"/>
    <n v="2975.8499999999995"/>
  </r>
  <r>
    <x v="17"/>
    <x v="0"/>
    <x v="3"/>
    <x v="401"/>
    <x v="0"/>
    <x v="1"/>
    <n v="43.31"/>
    <n v="2.2400000000000002"/>
    <x v="10"/>
    <m/>
    <x v="0"/>
    <m/>
    <m/>
    <n v="3065"/>
    <n v="2605.25"/>
    <n v="2930.9062499999995"/>
  </r>
  <r>
    <x v="17"/>
    <x v="0"/>
    <x v="3"/>
    <x v="298"/>
    <x v="0"/>
    <x v="1"/>
    <n v="43.79"/>
    <n v="2.2400000000000002"/>
    <x v="10"/>
    <m/>
    <x v="0"/>
    <m/>
    <m/>
    <n v="3065"/>
    <n v="2605.25"/>
    <n v="2930.9062499999995"/>
  </r>
  <r>
    <x v="17"/>
    <x v="0"/>
    <x v="3"/>
    <x v="301"/>
    <x v="0"/>
    <x v="1"/>
    <n v="43.31"/>
    <n v="2.2400000000000002"/>
    <x v="10"/>
    <m/>
    <x v="0"/>
    <m/>
    <m/>
    <n v="3124"/>
    <n v="2655.4"/>
    <n v="2987.3249999999998"/>
  </r>
  <r>
    <x v="17"/>
    <x v="0"/>
    <x v="3"/>
    <x v="304"/>
    <x v="4"/>
    <x v="1"/>
    <n v="43.31"/>
    <n v="2.2400000000000002"/>
    <x v="10"/>
    <m/>
    <x v="0"/>
    <m/>
    <m/>
    <n v="3077"/>
    <n v="2615.4499999999998"/>
    <n v="2942.3812499999995"/>
  </r>
  <r>
    <x v="17"/>
    <x v="0"/>
    <x v="3"/>
    <x v="238"/>
    <x v="4"/>
    <x v="1"/>
    <n v="43.79"/>
    <n v="2.2400000000000002"/>
    <x v="10"/>
    <m/>
    <x v="0"/>
    <m/>
    <m/>
    <n v="3077"/>
    <n v="2615.4499999999998"/>
    <n v="2942.3812499999995"/>
  </r>
  <r>
    <x v="17"/>
    <x v="0"/>
    <x v="3"/>
    <x v="307"/>
    <x v="4"/>
    <x v="1"/>
    <n v="43.31"/>
    <n v="2.2400000000000002"/>
    <x v="10"/>
    <m/>
    <x v="0"/>
    <m/>
    <m/>
    <n v="3136"/>
    <n v="2665.6"/>
    <n v="2998.7999999999997"/>
  </r>
  <r>
    <x v="17"/>
    <x v="0"/>
    <x v="3"/>
    <x v="311"/>
    <x v="7"/>
    <x v="1"/>
    <n v="43.31"/>
    <n v="2.2400000000000002"/>
    <x v="10"/>
    <m/>
    <x v="0"/>
    <m/>
    <m/>
    <n v="3089"/>
    <n v="2625.65"/>
    <n v="2953.8562499999998"/>
  </r>
  <r>
    <x v="17"/>
    <x v="0"/>
    <x v="3"/>
    <x v="312"/>
    <x v="7"/>
    <x v="1"/>
    <n v="43.79"/>
    <n v="2.2400000000000002"/>
    <x v="10"/>
    <m/>
    <x v="0"/>
    <m/>
    <m/>
    <n v="3089"/>
    <n v="2625.65"/>
    <n v="2953.8562499999998"/>
  </r>
  <r>
    <x v="17"/>
    <x v="0"/>
    <x v="3"/>
    <x v="315"/>
    <x v="7"/>
    <x v="1"/>
    <n v="43.31"/>
    <n v="2.2400000000000002"/>
    <x v="10"/>
    <m/>
    <x v="0"/>
    <m/>
    <m/>
    <n v="3148"/>
    <n v="2675.7999999999997"/>
    <n v="3010.2749999999996"/>
  </r>
  <r>
    <x v="17"/>
    <x v="0"/>
    <x v="3"/>
    <x v="319"/>
    <x v="8"/>
    <x v="1"/>
    <n v="43.31"/>
    <n v="2.2400000000000002"/>
    <x v="10"/>
    <m/>
    <x v="0"/>
    <m/>
    <m/>
    <n v="3100"/>
    <n v="2635"/>
    <n v="2964.375"/>
  </r>
  <r>
    <x v="17"/>
    <x v="0"/>
    <x v="3"/>
    <x v="320"/>
    <x v="8"/>
    <x v="1"/>
    <n v="43.79"/>
    <n v="2.2400000000000002"/>
    <x v="10"/>
    <m/>
    <x v="0"/>
    <m/>
    <m/>
    <n v="3100"/>
    <n v="2635"/>
    <n v="2964.375"/>
  </r>
  <r>
    <x v="17"/>
    <x v="0"/>
    <x v="3"/>
    <x v="323"/>
    <x v="8"/>
    <x v="1"/>
    <n v="43.31"/>
    <n v="2.2400000000000002"/>
    <x v="10"/>
    <m/>
    <x v="0"/>
    <m/>
    <m/>
    <n v="3159"/>
    <n v="2685.15"/>
    <n v="3020.7937500000003"/>
  </r>
  <r>
    <x v="17"/>
    <x v="0"/>
    <x v="3"/>
    <x v="327"/>
    <x v="9"/>
    <x v="1"/>
    <n v="43.31"/>
    <n v="2.2400000000000002"/>
    <x v="10"/>
    <m/>
    <x v="0"/>
    <m/>
    <m/>
    <n v="3112"/>
    <n v="2645.2"/>
    <n v="2975.8499999999995"/>
  </r>
  <r>
    <x v="17"/>
    <x v="0"/>
    <x v="3"/>
    <x v="328"/>
    <x v="9"/>
    <x v="1"/>
    <n v="43.79"/>
    <n v="2.2400000000000002"/>
    <x v="10"/>
    <m/>
    <x v="0"/>
    <m/>
    <m/>
    <n v="3112"/>
    <n v="2645.2"/>
    <n v="2975.8499999999995"/>
  </r>
  <r>
    <x v="17"/>
    <x v="0"/>
    <x v="3"/>
    <x v="331"/>
    <x v="9"/>
    <x v="1"/>
    <n v="43.31"/>
    <n v="2.2400000000000002"/>
    <x v="10"/>
    <m/>
    <x v="0"/>
    <m/>
    <m/>
    <n v="3171"/>
    <n v="2695.35"/>
    <n v="3032.2687499999997"/>
  </r>
  <r>
    <x v="17"/>
    <x v="0"/>
    <x v="3"/>
    <x v="335"/>
    <x v="5"/>
    <x v="1"/>
    <n v="43.31"/>
    <n v="2.2400000000000002"/>
    <x v="10"/>
    <m/>
    <x v="0"/>
    <m/>
    <m/>
    <n v="3124"/>
    <n v="2655.4"/>
    <n v="2987.3249999999998"/>
  </r>
  <r>
    <x v="17"/>
    <x v="0"/>
    <x v="3"/>
    <x v="336"/>
    <x v="5"/>
    <x v="1"/>
    <n v="43.79"/>
    <n v="2.2400000000000002"/>
    <x v="10"/>
    <m/>
    <x v="0"/>
    <m/>
    <m/>
    <n v="3124"/>
    <n v="2655.4"/>
    <n v="2987.3249999999998"/>
  </r>
  <r>
    <x v="17"/>
    <x v="0"/>
    <x v="3"/>
    <x v="338"/>
    <x v="5"/>
    <x v="1"/>
    <n v="43.31"/>
    <n v="2.2400000000000002"/>
    <x v="10"/>
    <m/>
    <x v="0"/>
    <m/>
    <m/>
    <n v="3183"/>
    <n v="2705.5499999999997"/>
    <n v="3043.7437499999996"/>
  </r>
  <r>
    <x v="17"/>
    <x v="0"/>
    <x v="3"/>
    <x v="240"/>
    <x v="10"/>
    <x v="1"/>
    <n v="43.31"/>
    <n v="2.2400000000000002"/>
    <x v="10"/>
    <m/>
    <x v="0"/>
    <m/>
    <m/>
    <n v="3136"/>
    <n v="2665.6"/>
    <n v="2998.7999999999997"/>
  </r>
  <r>
    <x v="17"/>
    <x v="0"/>
    <x v="3"/>
    <x v="241"/>
    <x v="10"/>
    <x v="1"/>
    <n v="43.79"/>
    <n v="2.2400000000000002"/>
    <x v="10"/>
    <m/>
    <x v="0"/>
    <m/>
    <m/>
    <n v="3136"/>
    <n v="2665.6"/>
    <n v="2998.7999999999997"/>
  </r>
  <r>
    <x v="17"/>
    <x v="0"/>
    <x v="3"/>
    <x v="342"/>
    <x v="10"/>
    <x v="1"/>
    <n v="43.31"/>
    <n v="2.2400000000000002"/>
    <x v="10"/>
    <m/>
    <x v="0"/>
    <m/>
    <m/>
    <n v="3195"/>
    <n v="2715.75"/>
    <n v="3055.21875"/>
  </r>
  <r>
    <x v="17"/>
    <x v="0"/>
    <x v="3"/>
    <x v="345"/>
    <x v="11"/>
    <x v="1"/>
    <n v="43.31"/>
    <n v="2.2400000000000002"/>
    <x v="10"/>
    <m/>
    <x v="0"/>
    <m/>
    <m/>
    <n v="3148"/>
    <n v="2675.7999999999997"/>
    <n v="3010.2749999999996"/>
  </r>
  <r>
    <x v="17"/>
    <x v="0"/>
    <x v="3"/>
    <x v="346"/>
    <x v="11"/>
    <x v="1"/>
    <n v="43.79"/>
    <n v="2.2400000000000002"/>
    <x v="10"/>
    <m/>
    <x v="0"/>
    <m/>
    <m/>
    <n v="3148"/>
    <n v="2675.7999999999997"/>
    <n v="3010.2749999999996"/>
  </r>
  <r>
    <x v="17"/>
    <x v="0"/>
    <x v="3"/>
    <x v="348"/>
    <x v="11"/>
    <x v="1"/>
    <n v="43.31"/>
    <n v="2.2400000000000002"/>
    <x v="10"/>
    <m/>
    <x v="0"/>
    <m/>
    <m/>
    <n v="3206"/>
    <n v="2725.1"/>
    <n v="3065.7375000000002"/>
  </r>
  <r>
    <x v="17"/>
    <x v="0"/>
    <x v="3"/>
    <x v="546"/>
    <x v="12"/>
    <x v="1"/>
    <n v="43.31"/>
    <n v="2.2400000000000002"/>
    <x v="10"/>
    <m/>
    <x v="0"/>
    <m/>
    <m/>
    <n v="3159"/>
    <n v="2685.15"/>
    <n v="3020.7937500000003"/>
  </r>
  <r>
    <x v="17"/>
    <x v="0"/>
    <x v="3"/>
    <x v="403"/>
    <x v="12"/>
    <x v="1"/>
    <n v="43.79"/>
    <n v="2.2400000000000002"/>
    <x v="10"/>
    <m/>
    <x v="0"/>
    <m/>
    <m/>
    <n v="3159"/>
    <n v="2685.15"/>
    <n v="3020.7937500000003"/>
  </r>
  <r>
    <x v="17"/>
    <x v="0"/>
    <x v="3"/>
    <x v="404"/>
    <x v="12"/>
    <x v="1"/>
    <n v="43.31"/>
    <n v="2.2400000000000002"/>
    <x v="10"/>
    <m/>
    <x v="0"/>
    <m/>
    <m/>
    <n v="3218"/>
    <n v="2735.2999999999997"/>
    <n v="3077.2124999999992"/>
  </r>
  <r>
    <x v="17"/>
    <x v="0"/>
    <x v="10"/>
    <x v="193"/>
    <x v="6"/>
    <x v="1"/>
    <n v="43.06"/>
    <n v="2.23"/>
    <x v="10"/>
    <m/>
    <x v="0"/>
    <m/>
    <m/>
    <n v="3171"/>
    <n v="2695.35"/>
    <n v="3032.2687499999997"/>
  </r>
  <r>
    <x v="17"/>
    <x v="0"/>
    <x v="10"/>
    <x v="194"/>
    <x v="6"/>
    <x v="1"/>
    <n v="43.06"/>
    <n v="2.23"/>
    <x v="10"/>
    <m/>
    <x v="0"/>
    <m/>
    <m/>
    <n v="3171"/>
    <n v="2695.35"/>
    <n v="3032.2687499999997"/>
  </r>
  <r>
    <x v="17"/>
    <x v="0"/>
    <x v="10"/>
    <x v="277"/>
    <x v="3"/>
    <x v="1"/>
    <n v="43.06"/>
    <n v="2.23"/>
    <x v="10"/>
    <m/>
    <x v="0"/>
    <m/>
    <m/>
    <n v="3230"/>
    <n v="2745.5"/>
    <n v="3088.6874999999995"/>
  </r>
  <r>
    <x v="17"/>
    <x v="0"/>
    <x v="10"/>
    <x v="369"/>
    <x v="3"/>
    <x v="1"/>
    <n v="43.06"/>
    <n v="2.23"/>
    <x v="10"/>
    <m/>
    <x v="0"/>
    <m/>
    <m/>
    <n v="3230"/>
    <n v="2745.5"/>
    <n v="3088.6874999999995"/>
  </r>
  <r>
    <x v="17"/>
    <x v="0"/>
    <x v="10"/>
    <x v="351"/>
    <x v="3"/>
    <x v="1"/>
    <n v="43.06"/>
    <n v="2.23"/>
    <x v="10"/>
    <m/>
    <x v="0"/>
    <m/>
    <m/>
    <n v="3312"/>
    <n v="2815.2"/>
    <n v="3167.0999999999995"/>
  </r>
  <r>
    <x v="17"/>
    <x v="0"/>
    <x v="10"/>
    <x v="371"/>
    <x v="3"/>
    <x v="1"/>
    <n v="43.55"/>
    <n v="2.23"/>
    <x v="10"/>
    <m/>
    <x v="0"/>
    <m/>
    <m/>
    <n v="3289"/>
    <n v="2795.65"/>
    <n v="3145.1062499999998"/>
  </r>
  <r>
    <x v="17"/>
    <x v="0"/>
    <x v="10"/>
    <x v="295"/>
    <x v="3"/>
    <x v="1"/>
    <n v="43.55"/>
    <n v="2.23"/>
    <x v="10"/>
    <m/>
    <x v="0"/>
    <m/>
    <m/>
    <n v="3265"/>
    <n v="2775.25"/>
    <n v="3122.1562499999995"/>
  </r>
  <r>
    <x v="17"/>
    <x v="0"/>
    <x v="10"/>
    <x v="278"/>
    <x v="0"/>
    <x v="1"/>
    <n v="43.06"/>
    <n v="2.23"/>
    <x v="10"/>
    <m/>
    <x v="0"/>
    <m/>
    <m/>
    <n v="3242"/>
    <n v="2755.7"/>
    <n v="3100.1624999999995"/>
  </r>
  <r>
    <x v="17"/>
    <x v="0"/>
    <x v="10"/>
    <x v="73"/>
    <x v="0"/>
    <x v="1"/>
    <n v="43.06"/>
    <n v="2.23"/>
    <x v="10"/>
    <m/>
    <x v="0"/>
    <m/>
    <m/>
    <n v="3242"/>
    <n v="2755.7"/>
    <n v="3100.1624999999995"/>
  </r>
  <r>
    <x v="17"/>
    <x v="0"/>
    <x v="10"/>
    <x v="354"/>
    <x v="0"/>
    <x v="1"/>
    <n v="43.06"/>
    <n v="2.23"/>
    <x v="10"/>
    <m/>
    <x v="0"/>
    <m/>
    <m/>
    <n v="3324"/>
    <n v="2825.4"/>
    <n v="3178.5749999999998"/>
  </r>
  <r>
    <x v="17"/>
    <x v="0"/>
    <x v="10"/>
    <x v="373"/>
    <x v="0"/>
    <x v="1"/>
    <n v="43.55"/>
    <n v="2.23"/>
    <x v="10"/>
    <m/>
    <x v="0"/>
    <m/>
    <m/>
    <n v="3300"/>
    <n v="2805"/>
    <n v="3155.625"/>
  </r>
  <r>
    <x v="17"/>
    <x v="0"/>
    <x v="10"/>
    <x v="302"/>
    <x v="0"/>
    <x v="1"/>
    <n v="43.55"/>
    <n v="2.23"/>
    <x v="10"/>
    <m/>
    <x v="0"/>
    <m/>
    <m/>
    <n v="3277"/>
    <n v="2785.45"/>
    <n v="3133.6312499999995"/>
  </r>
  <r>
    <x v="17"/>
    <x v="0"/>
    <x v="10"/>
    <x v="280"/>
    <x v="4"/>
    <x v="1"/>
    <n v="43.06"/>
    <n v="2.23"/>
    <x v="10"/>
    <m/>
    <x v="0"/>
    <m/>
    <m/>
    <n v="3253"/>
    <n v="2765.0499999999997"/>
    <n v="3110.6812499999992"/>
  </r>
  <r>
    <x v="17"/>
    <x v="0"/>
    <x v="10"/>
    <x v="374"/>
    <x v="4"/>
    <x v="1"/>
    <n v="43.06"/>
    <n v="2.23"/>
    <x v="10"/>
    <m/>
    <x v="0"/>
    <m/>
    <m/>
    <n v="3253"/>
    <n v="2765.0499999999997"/>
    <n v="3110.6812499999992"/>
  </r>
  <r>
    <x v="17"/>
    <x v="0"/>
    <x v="10"/>
    <x v="357"/>
    <x v="4"/>
    <x v="1"/>
    <n v="43.06"/>
    <n v="2.23"/>
    <x v="10"/>
    <m/>
    <x v="0"/>
    <m/>
    <m/>
    <n v="3336"/>
    <n v="2835.6"/>
    <n v="3190.0499999999997"/>
  </r>
  <r>
    <x v="17"/>
    <x v="0"/>
    <x v="10"/>
    <x v="9"/>
    <x v="4"/>
    <x v="1"/>
    <n v="43.55"/>
    <n v="2.23"/>
    <x v="10"/>
    <m/>
    <x v="0"/>
    <m/>
    <m/>
    <n v="3312"/>
    <n v="2815.2"/>
    <n v="3167.0999999999995"/>
  </r>
  <r>
    <x v="17"/>
    <x v="0"/>
    <x v="10"/>
    <x v="309"/>
    <x v="4"/>
    <x v="1"/>
    <n v="43.55"/>
    <n v="2.23"/>
    <x v="10"/>
    <m/>
    <x v="0"/>
    <m/>
    <m/>
    <n v="3289"/>
    <n v="2795.65"/>
    <n v="3145.1062499999998"/>
  </r>
  <r>
    <x v="17"/>
    <x v="0"/>
    <x v="10"/>
    <x v="282"/>
    <x v="7"/>
    <x v="1"/>
    <n v="43.06"/>
    <n v="2.23"/>
    <x v="10"/>
    <m/>
    <x v="0"/>
    <m/>
    <m/>
    <n v="3265"/>
    <n v="2775.25"/>
    <n v="3122.1562499999995"/>
  </r>
  <r>
    <x v="17"/>
    <x v="0"/>
    <x v="10"/>
    <x v="376"/>
    <x v="7"/>
    <x v="1"/>
    <n v="43.06"/>
    <n v="2.23"/>
    <x v="10"/>
    <m/>
    <x v="0"/>
    <m/>
    <m/>
    <n v="3265"/>
    <n v="2775.25"/>
    <n v="3122.1562499999995"/>
  </r>
  <r>
    <x v="17"/>
    <x v="0"/>
    <x v="10"/>
    <x v="10"/>
    <x v="7"/>
    <x v="1"/>
    <n v="43.06"/>
    <n v="2.23"/>
    <x v="10"/>
    <m/>
    <x v="0"/>
    <m/>
    <m/>
    <n v="3348"/>
    <n v="2845.7999999999997"/>
    <n v="3201.5249999999996"/>
  </r>
  <r>
    <x v="17"/>
    <x v="0"/>
    <x v="10"/>
    <x v="378"/>
    <x v="7"/>
    <x v="1"/>
    <n v="43.55"/>
    <n v="2.23"/>
    <x v="10"/>
    <m/>
    <x v="0"/>
    <m/>
    <m/>
    <n v="3324"/>
    <n v="2825.4"/>
    <n v="3178.5749999999998"/>
  </r>
  <r>
    <x v="17"/>
    <x v="0"/>
    <x v="10"/>
    <x v="316"/>
    <x v="7"/>
    <x v="1"/>
    <n v="43.55"/>
    <n v="2.23"/>
    <x v="10"/>
    <m/>
    <x v="0"/>
    <m/>
    <m/>
    <n v="3300"/>
    <n v="2805"/>
    <n v="3155.625"/>
  </r>
  <r>
    <x v="17"/>
    <x v="0"/>
    <x v="10"/>
    <x v="284"/>
    <x v="8"/>
    <x v="1"/>
    <n v="43.06"/>
    <n v="2.23"/>
    <x v="10"/>
    <m/>
    <x v="0"/>
    <m/>
    <m/>
    <n v="3277"/>
    <n v="2785.45"/>
    <n v="3133.6312499999995"/>
  </r>
  <r>
    <x v="17"/>
    <x v="0"/>
    <x v="10"/>
    <x v="74"/>
    <x v="8"/>
    <x v="1"/>
    <n v="43.06"/>
    <n v="2.23"/>
    <x v="10"/>
    <m/>
    <x v="0"/>
    <m/>
    <m/>
    <n v="3277"/>
    <n v="2785.45"/>
    <n v="3133.6312499999995"/>
  </r>
  <r>
    <x v="17"/>
    <x v="0"/>
    <x v="10"/>
    <x v="12"/>
    <x v="8"/>
    <x v="1"/>
    <n v="43.06"/>
    <n v="2.23"/>
    <x v="10"/>
    <m/>
    <x v="0"/>
    <m/>
    <m/>
    <n v="3359"/>
    <n v="2855.15"/>
    <n v="3212.0437500000003"/>
  </r>
  <r>
    <x v="17"/>
    <x v="0"/>
    <x v="10"/>
    <x v="408"/>
    <x v="8"/>
    <x v="1"/>
    <n v="43.55"/>
    <n v="2.23"/>
    <x v="10"/>
    <m/>
    <x v="0"/>
    <m/>
    <m/>
    <n v="3336"/>
    <n v="2835.6"/>
    <n v="3190.0499999999997"/>
  </r>
  <r>
    <x v="17"/>
    <x v="0"/>
    <x v="10"/>
    <x v="324"/>
    <x v="8"/>
    <x v="1"/>
    <n v="43.55"/>
    <n v="2.23"/>
    <x v="10"/>
    <m/>
    <x v="0"/>
    <m/>
    <m/>
    <n v="3312"/>
    <n v="2815.2"/>
    <n v="3167.0999999999995"/>
  </r>
  <r>
    <x v="17"/>
    <x v="0"/>
    <x v="10"/>
    <x v="75"/>
    <x v="9"/>
    <x v="1"/>
    <n v="43.06"/>
    <n v="2.23"/>
    <x v="10"/>
    <m/>
    <x v="0"/>
    <m/>
    <m/>
    <n v="3289"/>
    <n v="2795.65"/>
    <n v="3145.1062499999998"/>
  </r>
  <r>
    <x v="17"/>
    <x v="0"/>
    <x v="10"/>
    <x v="76"/>
    <x v="9"/>
    <x v="1"/>
    <n v="43.06"/>
    <n v="2.23"/>
    <x v="10"/>
    <m/>
    <x v="0"/>
    <m/>
    <m/>
    <n v="3289"/>
    <n v="2795.65"/>
    <n v="3145.1062499999998"/>
  </r>
  <r>
    <x v="17"/>
    <x v="0"/>
    <x v="10"/>
    <x v="15"/>
    <x v="9"/>
    <x v="1"/>
    <n v="43.06"/>
    <n v="2.23"/>
    <x v="10"/>
    <m/>
    <x v="0"/>
    <m/>
    <m/>
    <n v="3371"/>
    <n v="2865.35"/>
    <n v="3223.5187499999997"/>
  </r>
  <r>
    <x v="17"/>
    <x v="0"/>
    <x v="10"/>
    <x v="381"/>
    <x v="9"/>
    <x v="1"/>
    <n v="43.55"/>
    <n v="2.23"/>
    <x v="10"/>
    <m/>
    <x v="0"/>
    <m/>
    <m/>
    <n v="3348"/>
    <n v="2845.7999999999997"/>
    <n v="3201.5249999999996"/>
  </r>
  <r>
    <x v="17"/>
    <x v="0"/>
    <x v="10"/>
    <x v="332"/>
    <x v="9"/>
    <x v="1"/>
    <n v="43.55"/>
    <n v="2.23"/>
    <x v="10"/>
    <m/>
    <x v="0"/>
    <m/>
    <m/>
    <n v="3324"/>
    <n v="2825.4"/>
    <n v="3178.5749999999998"/>
  </r>
  <r>
    <x v="17"/>
    <x v="0"/>
    <x v="10"/>
    <x v="77"/>
    <x v="5"/>
    <x v="1"/>
    <n v="43.06"/>
    <n v="2.23"/>
    <x v="10"/>
    <m/>
    <x v="0"/>
    <m/>
    <m/>
    <n v="3300"/>
    <n v="2805"/>
    <n v="3155.625"/>
  </r>
  <r>
    <x v="17"/>
    <x v="0"/>
    <x v="10"/>
    <x v="78"/>
    <x v="5"/>
    <x v="1"/>
    <n v="43.06"/>
    <n v="2.23"/>
    <x v="10"/>
    <m/>
    <x v="0"/>
    <m/>
    <m/>
    <n v="3300"/>
    <n v="2805"/>
    <n v="3155.625"/>
  </r>
  <r>
    <x v="17"/>
    <x v="0"/>
    <x v="10"/>
    <x v="19"/>
    <x v="5"/>
    <x v="1"/>
    <n v="43.06"/>
    <n v="2.23"/>
    <x v="10"/>
    <m/>
    <x v="0"/>
    <m/>
    <m/>
    <n v="3383"/>
    <n v="2875.5499999999997"/>
    <n v="3234.9937499999996"/>
  </r>
  <r>
    <x v="17"/>
    <x v="0"/>
    <x v="10"/>
    <x v="383"/>
    <x v="5"/>
    <x v="1"/>
    <n v="43.55"/>
    <n v="2.23"/>
    <x v="10"/>
    <m/>
    <x v="0"/>
    <m/>
    <m/>
    <n v="3359"/>
    <n v="2855.15"/>
    <n v="3212.0437500000003"/>
  </r>
  <r>
    <x v="17"/>
    <x v="0"/>
    <x v="10"/>
    <x v="339"/>
    <x v="5"/>
    <x v="1"/>
    <n v="43.55"/>
    <n v="2.23"/>
    <x v="10"/>
    <m/>
    <x v="0"/>
    <m/>
    <m/>
    <n v="3336"/>
    <n v="2835.6"/>
    <n v="3190.0499999999997"/>
  </r>
  <r>
    <x v="17"/>
    <x v="0"/>
    <x v="10"/>
    <x v="79"/>
    <x v="10"/>
    <x v="1"/>
    <n v="43.06"/>
    <n v="2.23"/>
    <x v="10"/>
    <m/>
    <x v="0"/>
    <m/>
    <m/>
    <n v="3312"/>
    <n v="2815.2"/>
    <n v="3167.0999999999995"/>
  </r>
  <r>
    <x v="17"/>
    <x v="0"/>
    <x v="10"/>
    <x v="80"/>
    <x v="10"/>
    <x v="1"/>
    <n v="43.06"/>
    <n v="2.23"/>
    <x v="10"/>
    <m/>
    <x v="0"/>
    <m/>
    <m/>
    <n v="3312"/>
    <n v="2815.2"/>
    <n v="3167.0999999999995"/>
  </r>
  <r>
    <x v="17"/>
    <x v="0"/>
    <x v="10"/>
    <x v="23"/>
    <x v="10"/>
    <x v="1"/>
    <n v="43.06"/>
    <n v="2.23"/>
    <x v="10"/>
    <m/>
    <x v="0"/>
    <m/>
    <m/>
    <n v="3395"/>
    <n v="2885.75"/>
    <n v="3246.46875"/>
  </r>
  <r>
    <x v="17"/>
    <x v="0"/>
    <x v="10"/>
    <x v="385"/>
    <x v="10"/>
    <x v="1"/>
    <n v="43.55"/>
    <n v="2.23"/>
    <x v="10"/>
    <m/>
    <x v="0"/>
    <m/>
    <m/>
    <n v="3371"/>
    <n v="2865.35"/>
    <n v="3223.5187499999997"/>
  </r>
  <r>
    <x v="17"/>
    <x v="0"/>
    <x v="10"/>
    <x v="343"/>
    <x v="10"/>
    <x v="1"/>
    <n v="43.55"/>
    <n v="2.23"/>
    <x v="10"/>
    <m/>
    <x v="0"/>
    <m/>
    <m/>
    <n v="3348"/>
    <n v="2845.7999999999997"/>
    <n v="3201.5249999999996"/>
  </r>
  <r>
    <x v="17"/>
    <x v="0"/>
    <x v="10"/>
    <x v="81"/>
    <x v="11"/>
    <x v="1"/>
    <n v="43.06"/>
    <n v="2.23"/>
    <x v="10"/>
    <m/>
    <x v="0"/>
    <m/>
    <m/>
    <n v="3324"/>
    <n v="2825.4"/>
    <n v="3178.5749999999998"/>
  </r>
  <r>
    <x v="17"/>
    <x v="0"/>
    <x v="10"/>
    <x v="82"/>
    <x v="11"/>
    <x v="1"/>
    <n v="43.06"/>
    <n v="2.23"/>
    <x v="10"/>
    <m/>
    <x v="0"/>
    <m/>
    <m/>
    <n v="3324"/>
    <n v="2825.4"/>
    <n v="3178.5749999999998"/>
  </r>
  <r>
    <x v="17"/>
    <x v="0"/>
    <x v="10"/>
    <x v="28"/>
    <x v="11"/>
    <x v="1"/>
    <n v="43.06"/>
    <n v="2.23"/>
    <x v="10"/>
    <m/>
    <x v="0"/>
    <m/>
    <m/>
    <n v="3406"/>
    <n v="2895.1"/>
    <n v="3256.9875000000002"/>
  </r>
  <r>
    <x v="17"/>
    <x v="0"/>
    <x v="10"/>
    <x v="387"/>
    <x v="11"/>
    <x v="1"/>
    <n v="43.55"/>
    <n v="2.23"/>
    <x v="10"/>
    <m/>
    <x v="0"/>
    <m/>
    <m/>
    <n v="3383"/>
    <n v="2875.5499999999997"/>
    <n v="3234.9937499999996"/>
  </r>
  <r>
    <x v="17"/>
    <x v="0"/>
    <x v="10"/>
    <x v="349"/>
    <x v="11"/>
    <x v="1"/>
    <n v="43.55"/>
    <n v="2.23"/>
    <x v="10"/>
    <m/>
    <x v="0"/>
    <m/>
    <m/>
    <n v="3359"/>
    <n v="2855.15"/>
    <n v="3212.0437500000003"/>
  </r>
  <r>
    <x v="17"/>
    <x v="0"/>
    <x v="10"/>
    <x v="83"/>
    <x v="12"/>
    <x v="1"/>
    <n v="43.06"/>
    <n v="2.23"/>
    <x v="10"/>
    <m/>
    <x v="0"/>
    <m/>
    <m/>
    <n v="3336"/>
    <n v="2835.6"/>
    <n v="3190.0499999999997"/>
  </r>
  <r>
    <x v="17"/>
    <x v="0"/>
    <x v="10"/>
    <x v="84"/>
    <x v="12"/>
    <x v="1"/>
    <n v="43.06"/>
    <n v="2.23"/>
    <x v="10"/>
    <m/>
    <x v="0"/>
    <m/>
    <m/>
    <n v="3336"/>
    <n v="2835.6"/>
    <n v="3190.0499999999997"/>
  </r>
  <r>
    <x v="17"/>
    <x v="0"/>
    <x v="10"/>
    <x v="32"/>
    <x v="12"/>
    <x v="1"/>
    <n v="43.06"/>
    <n v="2.23"/>
    <x v="10"/>
    <m/>
    <x v="0"/>
    <m/>
    <m/>
    <n v="3418"/>
    <n v="2905.2999999999997"/>
    <n v="3268.4624999999992"/>
  </r>
  <r>
    <x v="17"/>
    <x v="0"/>
    <x v="10"/>
    <x v="405"/>
    <x v="12"/>
    <x v="1"/>
    <n v="43.55"/>
    <n v="2.23"/>
    <x v="10"/>
    <m/>
    <x v="0"/>
    <m/>
    <m/>
    <n v="3395"/>
    <n v="2885.75"/>
    <n v="3246.46875"/>
  </r>
  <r>
    <x v="17"/>
    <x v="0"/>
    <x v="10"/>
    <x v="617"/>
    <x v="12"/>
    <x v="1"/>
    <n v="43.55"/>
    <n v="2.23"/>
    <x v="10"/>
    <m/>
    <x v="0"/>
    <m/>
    <m/>
    <n v="3371"/>
    <n v="2865.35"/>
    <n v="3223.5187499999997"/>
  </r>
  <r>
    <x v="17"/>
    <x v="2"/>
    <x v="7"/>
    <x v="103"/>
    <x v="6"/>
    <x v="1"/>
    <n v="12.5"/>
    <n v="0"/>
    <x v="10"/>
    <m/>
    <x v="0"/>
    <m/>
    <m/>
    <n v="350"/>
    <n v="350"/>
    <n v="393.75"/>
  </r>
  <r>
    <x v="17"/>
    <x v="2"/>
    <x v="7"/>
    <x v="104"/>
    <x v="6"/>
    <x v="1"/>
    <n v="12.5"/>
    <n v="0"/>
    <x v="10"/>
    <m/>
    <x v="0"/>
    <m/>
    <m/>
    <n v="350"/>
    <n v="350"/>
    <n v="393.75"/>
  </r>
  <r>
    <x v="17"/>
    <x v="2"/>
    <x v="7"/>
    <x v="105"/>
    <x v="6"/>
    <x v="1"/>
    <n v="12.5"/>
    <n v="0"/>
    <x v="10"/>
    <m/>
    <x v="0"/>
    <m/>
    <m/>
    <n v="350"/>
    <n v="350"/>
    <n v="393.75"/>
  </r>
  <r>
    <x v="17"/>
    <x v="2"/>
    <x v="7"/>
    <x v="106"/>
    <x v="6"/>
    <x v="1"/>
    <n v="12.5"/>
    <n v="0"/>
    <x v="10"/>
    <m/>
    <x v="0"/>
    <m/>
    <m/>
    <n v="350"/>
    <n v="350"/>
    <n v="393.75"/>
  </r>
  <r>
    <x v="17"/>
    <x v="2"/>
    <x v="7"/>
    <x v="107"/>
    <x v="6"/>
    <x v="1"/>
    <n v="12.5"/>
    <n v="0"/>
    <x v="10"/>
    <m/>
    <x v="0"/>
    <m/>
    <m/>
    <n v="350"/>
    <n v="350"/>
    <n v="393.75"/>
  </r>
  <r>
    <x v="17"/>
    <x v="2"/>
    <x v="7"/>
    <x v="273"/>
    <x v="6"/>
    <x v="1"/>
    <n v="12.5"/>
    <n v="0"/>
    <x v="10"/>
    <m/>
    <x v="0"/>
    <m/>
    <m/>
    <n v="350"/>
    <n v="350"/>
    <n v="393.75"/>
  </r>
  <r>
    <x v="17"/>
    <x v="2"/>
    <x v="7"/>
    <x v="108"/>
    <x v="6"/>
    <x v="1"/>
    <n v="12.5"/>
    <n v="0"/>
    <x v="10"/>
    <m/>
    <x v="0"/>
    <m/>
    <m/>
    <n v="350"/>
    <n v="350"/>
    <n v="393.75"/>
  </r>
  <r>
    <x v="17"/>
    <x v="2"/>
    <x v="7"/>
    <x v="109"/>
    <x v="6"/>
    <x v="1"/>
    <n v="12.5"/>
    <n v="0"/>
    <x v="10"/>
    <m/>
    <x v="0"/>
    <m/>
    <m/>
    <n v="350"/>
    <n v="350"/>
    <n v="393.75"/>
  </r>
  <r>
    <x v="17"/>
    <x v="2"/>
    <x v="7"/>
    <x v="165"/>
    <x v="6"/>
    <x v="1"/>
    <n v="12.5"/>
    <n v="0"/>
    <x v="10"/>
    <m/>
    <x v="0"/>
    <m/>
    <m/>
    <n v="350"/>
    <n v="350"/>
    <n v="393.75"/>
  </r>
  <r>
    <x v="17"/>
    <x v="2"/>
    <x v="7"/>
    <x v="274"/>
    <x v="6"/>
    <x v="1"/>
    <n v="12.5"/>
    <n v="0"/>
    <x v="10"/>
    <m/>
    <x v="0"/>
    <m/>
    <m/>
    <n v="350"/>
    <n v="350"/>
    <n v="393.75"/>
  </r>
  <r>
    <x v="17"/>
    <x v="2"/>
    <x v="7"/>
    <x v="110"/>
    <x v="6"/>
    <x v="1"/>
    <n v="12.5"/>
    <n v="0"/>
    <x v="10"/>
    <m/>
    <x v="0"/>
    <m/>
    <m/>
    <n v="350"/>
    <n v="350"/>
    <n v="393.75"/>
  </r>
  <r>
    <x v="17"/>
    <x v="2"/>
    <x v="7"/>
    <x v="111"/>
    <x v="6"/>
    <x v="1"/>
    <n v="12.5"/>
    <n v="0"/>
    <x v="10"/>
    <m/>
    <x v="0"/>
    <m/>
    <m/>
    <n v="350"/>
    <n v="350"/>
    <n v="393.75"/>
  </r>
  <r>
    <x v="17"/>
    <x v="2"/>
    <x v="7"/>
    <x v="112"/>
    <x v="6"/>
    <x v="1"/>
    <n v="12.5"/>
    <n v="0"/>
    <x v="10"/>
    <m/>
    <x v="0"/>
    <m/>
    <m/>
    <n v="350"/>
    <n v="350"/>
    <n v="393.75"/>
  </r>
  <r>
    <x v="17"/>
    <x v="2"/>
    <x v="7"/>
    <x v="113"/>
    <x v="6"/>
    <x v="1"/>
    <n v="12.5"/>
    <n v="0"/>
    <x v="10"/>
    <m/>
    <x v="0"/>
    <m/>
    <m/>
    <n v="300"/>
    <n v="300"/>
    <n v="337.5"/>
  </r>
  <r>
    <x v="17"/>
    <x v="2"/>
    <x v="7"/>
    <x v="114"/>
    <x v="6"/>
    <x v="1"/>
    <n v="12.5"/>
    <n v="0"/>
    <x v="10"/>
    <m/>
    <x v="0"/>
    <m/>
    <m/>
    <n v="300"/>
    <n v="300"/>
    <n v="337.5"/>
  </r>
  <r>
    <x v="17"/>
    <x v="2"/>
    <x v="7"/>
    <x v="115"/>
    <x v="6"/>
    <x v="1"/>
    <n v="12.5"/>
    <n v="0"/>
    <x v="10"/>
    <m/>
    <x v="0"/>
    <m/>
    <m/>
    <n v="300"/>
    <n v="300"/>
    <n v="337.5"/>
  </r>
  <r>
    <x v="17"/>
    <x v="2"/>
    <x v="7"/>
    <x v="116"/>
    <x v="6"/>
    <x v="1"/>
    <n v="12.5"/>
    <n v="0"/>
    <x v="10"/>
    <m/>
    <x v="0"/>
    <m/>
    <m/>
    <n v="300"/>
    <n v="300"/>
    <n v="337.5"/>
  </r>
  <r>
    <x v="17"/>
    <x v="2"/>
    <x v="7"/>
    <x v="117"/>
    <x v="6"/>
    <x v="1"/>
    <n v="12.5"/>
    <n v="0"/>
    <x v="10"/>
    <m/>
    <x v="0"/>
    <m/>
    <m/>
    <n v="300"/>
    <n v="300"/>
    <n v="337.5"/>
  </r>
  <r>
    <x v="17"/>
    <x v="2"/>
    <x v="7"/>
    <x v="166"/>
    <x v="6"/>
    <x v="1"/>
    <n v="12.5"/>
    <n v="0"/>
    <x v="10"/>
    <m/>
    <x v="0"/>
    <m/>
    <m/>
    <n v="300"/>
    <n v="300"/>
    <n v="337.5"/>
  </r>
  <r>
    <x v="17"/>
    <x v="2"/>
    <x v="7"/>
    <x v="118"/>
    <x v="6"/>
    <x v="1"/>
    <n v="12.5"/>
    <n v="0"/>
    <x v="10"/>
    <m/>
    <x v="0"/>
    <m/>
    <m/>
    <n v="300"/>
    <n v="300"/>
    <n v="337.5"/>
  </r>
  <r>
    <x v="17"/>
    <x v="2"/>
    <x v="7"/>
    <x v="119"/>
    <x v="6"/>
    <x v="1"/>
    <n v="12.5"/>
    <n v="0"/>
    <x v="10"/>
    <m/>
    <x v="0"/>
    <m/>
    <m/>
    <n v="300"/>
    <n v="300"/>
    <n v="337.5"/>
  </r>
  <r>
    <x v="17"/>
    <x v="2"/>
    <x v="7"/>
    <x v="120"/>
    <x v="6"/>
    <x v="1"/>
    <n v="12.5"/>
    <n v="0"/>
    <x v="10"/>
    <m/>
    <x v="0"/>
    <m/>
    <m/>
    <n v="300"/>
    <n v="300"/>
    <n v="337.5"/>
  </r>
  <r>
    <x v="17"/>
    <x v="2"/>
    <x v="7"/>
    <x v="275"/>
    <x v="6"/>
    <x v="1"/>
    <n v="12.5"/>
    <n v="0"/>
    <x v="10"/>
    <m/>
    <x v="0"/>
    <m/>
    <m/>
    <n v="300"/>
    <n v="300"/>
    <n v="337.5"/>
  </r>
  <r>
    <x v="17"/>
    <x v="2"/>
    <x v="7"/>
    <x v="121"/>
    <x v="6"/>
    <x v="1"/>
    <n v="12.5"/>
    <n v="0"/>
    <x v="10"/>
    <m/>
    <x v="0"/>
    <m/>
    <m/>
    <n v="300"/>
    <n v="300"/>
    <n v="337.5"/>
  </r>
  <r>
    <x v="17"/>
    <x v="2"/>
    <x v="7"/>
    <x v="122"/>
    <x v="6"/>
    <x v="1"/>
    <n v="12.5"/>
    <n v="0"/>
    <x v="10"/>
    <m/>
    <x v="0"/>
    <m/>
    <m/>
    <n v="300"/>
    <n v="300"/>
    <n v="337.5"/>
  </r>
  <r>
    <x v="17"/>
    <x v="2"/>
    <x v="7"/>
    <x v="123"/>
    <x v="20"/>
    <x v="1"/>
    <n v="12.5"/>
    <n v="0"/>
    <x v="10"/>
    <m/>
    <x v="0"/>
    <m/>
    <m/>
    <n v="350"/>
    <n v="350"/>
    <n v="393.75"/>
  </r>
  <r>
    <x v="17"/>
    <x v="2"/>
    <x v="7"/>
    <x v="167"/>
    <x v="20"/>
    <x v="1"/>
    <n v="12.5"/>
    <n v="0"/>
    <x v="10"/>
    <m/>
    <x v="0"/>
    <m/>
    <m/>
    <n v="350"/>
    <n v="350"/>
    <n v="393.75"/>
  </r>
  <r>
    <x v="17"/>
    <x v="2"/>
    <x v="7"/>
    <x v="124"/>
    <x v="20"/>
    <x v="1"/>
    <n v="12.5"/>
    <n v="0"/>
    <x v="10"/>
    <m/>
    <x v="0"/>
    <m/>
    <m/>
    <n v="350"/>
    <n v="350"/>
    <n v="393.75"/>
  </r>
  <r>
    <x v="17"/>
    <x v="2"/>
    <x v="7"/>
    <x v="125"/>
    <x v="20"/>
    <x v="1"/>
    <n v="12.5"/>
    <n v="0"/>
    <x v="10"/>
    <m/>
    <x v="0"/>
    <m/>
    <m/>
    <n v="350"/>
    <n v="350"/>
    <n v="393.75"/>
  </r>
  <r>
    <x v="17"/>
    <x v="2"/>
    <x v="7"/>
    <x v="126"/>
    <x v="20"/>
    <x v="1"/>
    <n v="12.5"/>
    <n v="0"/>
    <x v="10"/>
    <m/>
    <x v="0"/>
    <m/>
    <m/>
    <n v="350"/>
    <n v="350"/>
    <n v="393.75"/>
  </r>
  <r>
    <x v="17"/>
    <x v="2"/>
    <x v="7"/>
    <x v="127"/>
    <x v="20"/>
    <x v="1"/>
    <n v="12.5"/>
    <n v="0"/>
    <x v="10"/>
    <m/>
    <x v="0"/>
    <m/>
    <m/>
    <n v="350"/>
    <n v="350"/>
    <n v="393.75"/>
  </r>
  <r>
    <x v="17"/>
    <x v="2"/>
    <x v="7"/>
    <x v="276"/>
    <x v="20"/>
    <x v="1"/>
    <n v="12.5"/>
    <n v="0"/>
    <x v="10"/>
    <m/>
    <x v="0"/>
    <m/>
    <m/>
    <n v="350"/>
    <n v="350"/>
    <n v="393.75"/>
  </r>
  <r>
    <x v="17"/>
    <x v="2"/>
    <x v="7"/>
    <x v="128"/>
    <x v="20"/>
    <x v="1"/>
    <n v="12.5"/>
    <n v="0"/>
    <x v="10"/>
    <m/>
    <x v="0"/>
    <m/>
    <m/>
    <n v="350"/>
    <n v="350"/>
    <n v="393.75"/>
  </r>
  <r>
    <x v="17"/>
    <x v="2"/>
    <x v="7"/>
    <x v="129"/>
    <x v="20"/>
    <x v="1"/>
    <n v="12.5"/>
    <n v="0"/>
    <x v="10"/>
    <m/>
    <x v="0"/>
    <m/>
    <m/>
    <n v="350"/>
    <n v="350"/>
    <n v="393.75"/>
  </r>
  <r>
    <x v="17"/>
    <x v="2"/>
    <x v="7"/>
    <x v="130"/>
    <x v="20"/>
    <x v="1"/>
    <n v="12.5"/>
    <n v="0"/>
    <x v="10"/>
    <m/>
    <x v="0"/>
    <m/>
    <m/>
    <n v="350"/>
    <n v="350"/>
    <n v="393.75"/>
  </r>
  <r>
    <x v="17"/>
    <x v="2"/>
    <x v="7"/>
    <x v="131"/>
    <x v="20"/>
    <x v="1"/>
    <n v="12.5"/>
    <n v="0"/>
    <x v="10"/>
    <m/>
    <x v="0"/>
    <m/>
    <m/>
    <n v="350"/>
    <n v="350"/>
    <n v="393.75"/>
  </r>
  <r>
    <x v="17"/>
    <x v="2"/>
    <x v="7"/>
    <x v="132"/>
    <x v="20"/>
    <x v="1"/>
    <n v="12.5"/>
    <n v="0"/>
    <x v="10"/>
    <m/>
    <x v="0"/>
    <m/>
    <m/>
    <n v="350"/>
    <n v="350"/>
    <n v="393.75"/>
  </r>
  <r>
    <x v="17"/>
    <x v="2"/>
    <x v="7"/>
    <x v="133"/>
    <x v="20"/>
    <x v="1"/>
    <n v="12.5"/>
    <n v="0"/>
    <x v="10"/>
    <m/>
    <x v="0"/>
    <m/>
    <m/>
    <n v="350"/>
    <n v="350"/>
    <n v="393.75"/>
  </r>
  <r>
    <x v="17"/>
    <x v="2"/>
    <x v="7"/>
    <x v="134"/>
    <x v="20"/>
    <x v="1"/>
    <n v="12.5"/>
    <n v="0"/>
    <x v="10"/>
    <m/>
    <x v="0"/>
    <m/>
    <m/>
    <n v="350"/>
    <n v="350"/>
    <n v="393.75"/>
  </r>
  <r>
    <x v="17"/>
    <x v="2"/>
    <x v="7"/>
    <x v="135"/>
    <x v="20"/>
    <x v="1"/>
    <n v="12.5"/>
    <n v="0"/>
    <x v="10"/>
    <m/>
    <x v="0"/>
    <m/>
    <m/>
    <n v="350"/>
    <n v="350"/>
    <n v="393.75"/>
  </r>
  <r>
    <x v="17"/>
    <x v="2"/>
    <x v="7"/>
    <x v="136"/>
    <x v="20"/>
    <x v="1"/>
    <n v="12.5"/>
    <n v="0"/>
    <x v="10"/>
    <m/>
    <x v="0"/>
    <m/>
    <m/>
    <n v="350"/>
    <n v="350"/>
    <n v="393.75"/>
  </r>
  <r>
    <x v="17"/>
    <x v="2"/>
    <x v="7"/>
    <x v="137"/>
    <x v="20"/>
    <x v="1"/>
    <n v="12.5"/>
    <n v="0"/>
    <x v="10"/>
    <m/>
    <x v="0"/>
    <m/>
    <m/>
    <n v="350"/>
    <n v="350"/>
    <n v="393.75"/>
  </r>
  <r>
    <x v="17"/>
    <x v="2"/>
    <x v="7"/>
    <x v="138"/>
    <x v="20"/>
    <x v="1"/>
    <n v="12.5"/>
    <n v="0"/>
    <x v="10"/>
    <m/>
    <x v="0"/>
    <m/>
    <m/>
    <n v="350"/>
    <n v="350"/>
    <n v="393.75"/>
  </r>
  <r>
    <x v="17"/>
    <x v="2"/>
    <x v="7"/>
    <x v="139"/>
    <x v="20"/>
    <x v="1"/>
    <n v="12.5"/>
    <n v="0"/>
    <x v="10"/>
    <m/>
    <x v="0"/>
    <m/>
    <m/>
    <n v="350"/>
    <n v="350"/>
    <n v="393.75"/>
  </r>
  <r>
    <x v="17"/>
    <x v="2"/>
    <x v="7"/>
    <x v="140"/>
    <x v="20"/>
    <x v="1"/>
    <n v="12.5"/>
    <n v="0"/>
    <x v="10"/>
    <m/>
    <x v="0"/>
    <m/>
    <m/>
    <n v="350"/>
    <n v="350"/>
    <n v="393.75"/>
  </r>
  <r>
    <x v="17"/>
    <x v="2"/>
    <x v="7"/>
    <x v="141"/>
    <x v="20"/>
    <x v="1"/>
    <n v="12.5"/>
    <n v="0"/>
    <x v="10"/>
    <m/>
    <x v="0"/>
    <m/>
    <m/>
    <n v="350"/>
    <n v="350"/>
    <n v="393.75"/>
  </r>
  <r>
    <x v="17"/>
    <x v="2"/>
    <x v="7"/>
    <x v="142"/>
    <x v="20"/>
    <x v="1"/>
    <n v="12.5"/>
    <n v="0"/>
    <x v="10"/>
    <m/>
    <x v="0"/>
    <m/>
    <m/>
    <n v="350"/>
    <n v="350"/>
    <n v="393.75"/>
  </r>
  <r>
    <x v="17"/>
    <x v="2"/>
    <x v="7"/>
    <x v="143"/>
    <x v="20"/>
    <x v="1"/>
    <n v="12.5"/>
    <n v="0"/>
    <x v="10"/>
    <m/>
    <x v="0"/>
    <m/>
    <m/>
    <n v="350"/>
    <n v="350"/>
    <n v="393.75"/>
  </r>
  <r>
    <x v="17"/>
    <x v="2"/>
    <x v="7"/>
    <x v="144"/>
    <x v="20"/>
    <x v="1"/>
    <n v="12.5"/>
    <n v="0"/>
    <x v="10"/>
    <m/>
    <x v="0"/>
    <m/>
    <m/>
    <n v="350"/>
    <n v="350"/>
    <n v="393.75"/>
  </r>
  <r>
    <x v="17"/>
    <x v="2"/>
    <x v="7"/>
    <x v="145"/>
    <x v="20"/>
    <x v="1"/>
    <n v="12.5"/>
    <n v="0"/>
    <x v="10"/>
    <m/>
    <x v="0"/>
    <m/>
    <m/>
    <n v="350"/>
    <n v="350"/>
    <n v="393.75"/>
  </r>
  <r>
    <x v="17"/>
    <x v="2"/>
    <x v="7"/>
    <x v="146"/>
    <x v="20"/>
    <x v="1"/>
    <n v="12.5"/>
    <n v="0"/>
    <x v="10"/>
    <m/>
    <x v="0"/>
    <m/>
    <m/>
    <n v="350"/>
    <n v="350"/>
    <n v="393.75"/>
  </r>
  <r>
    <x v="17"/>
    <x v="2"/>
    <x v="7"/>
    <x v="168"/>
    <x v="20"/>
    <x v="1"/>
    <n v="12.5"/>
    <n v="0"/>
    <x v="10"/>
    <m/>
    <x v="0"/>
    <m/>
    <m/>
    <n v="350"/>
    <n v="350"/>
    <n v="393.75"/>
  </r>
  <r>
    <x v="17"/>
    <x v="2"/>
    <x v="7"/>
    <x v="397"/>
    <x v="20"/>
    <x v="1"/>
    <n v="12.5"/>
    <n v="0"/>
    <x v="10"/>
    <m/>
    <x v="0"/>
    <m/>
    <m/>
    <n v="350"/>
    <n v="350"/>
    <n v="393.75"/>
  </r>
  <r>
    <x v="17"/>
    <x v="2"/>
    <x v="7"/>
    <x v="169"/>
    <x v="20"/>
    <x v="1"/>
    <n v="12.5"/>
    <n v="0"/>
    <x v="10"/>
    <m/>
    <x v="0"/>
    <m/>
    <m/>
    <n v="350"/>
    <n v="350"/>
    <n v="393.75"/>
  </r>
  <r>
    <x v="17"/>
    <x v="2"/>
    <x v="7"/>
    <x v="170"/>
    <x v="20"/>
    <x v="1"/>
    <n v="12.5"/>
    <n v="0"/>
    <x v="10"/>
    <m/>
    <x v="0"/>
    <m/>
    <m/>
    <n v="350"/>
    <n v="350"/>
    <n v="393.75"/>
  </r>
  <r>
    <x v="17"/>
    <x v="2"/>
    <x v="7"/>
    <x v="398"/>
    <x v="20"/>
    <x v="1"/>
    <n v="12.5"/>
    <n v="0"/>
    <x v="10"/>
    <m/>
    <x v="0"/>
    <m/>
    <m/>
    <n v="350"/>
    <n v="350"/>
    <n v="393.75"/>
  </r>
  <r>
    <x v="17"/>
    <x v="2"/>
    <x v="7"/>
    <x v="171"/>
    <x v="20"/>
    <x v="1"/>
    <n v="12.5"/>
    <n v="0"/>
    <x v="10"/>
    <m/>
    <x v="0"/>
    <m/>
    <m/>
    <n v="350"/>
    <n v="350"/>
    <n v="393.75"/>
  </r>
  <r>
    <x v="17"/>
    <x v="2"/>
    <x v="7"/>
    <x v="399"/>
    <x v="20"/>
    <x v="1"/>
    <n v="12.5"/>
    <n v="0"/>
    <x v="10"/>
    <m/>
    <x v="0"/>
    <m/>
    <m/>
    <n v="350"/>
    <n v="350"/>
    <n v="393.75"/>
  </r>
  <r>
    <x v="17"/>
    <x v="2"/>
    <x v="7"/>
    <x v="172"/>
    <x v="20"/>
    <x v="1"/>
    <n v="12.5"/>
    <n v="0"/>
    <x v="10"/>
    <m/>
    <x v="0"/>
    <m/>
    <m/>
    <n v="350"/>
    <n v="350"/>
    <n v="393.75"/>
  </r>
  <r>
    <x v="17"/>
    <x v="2"/>
    <x v="7"/>
    <x v="147"/>
    <x v="20"/>
    <x v="1"/>
    <n v="12.5"/>
    <n v="0"/>
    <x v="10"/>
    <m/>
    <x v="0"/>
    <m/>
    <m/>
    <n v="350"/>
    <n v="350"/>
    <n v="393.75"/>
  </r>
  <r>
    <x v="17"/>
    <x v="2"/>
    <x v="7"/>
    <x v="173"/>
    <x v="20"/>
    <x v="1"/>
    <n v="12.5"/>
    <n v="0"/>
    <x v="10"/>
    <m/>
    <x v="0"/>
    <m/>
    <m/>
    <n v="350"/>
    <n v="350"/>
    <n v="393.75"/>
  </r>
  <r>
    <x v="17"/>
    <x v="2"/>
    <x v="7"/>
    <x v="174"/>
    <x v="20"/>
    <x v="1"/>
    <n v="12.5"/>
    <n v="0"/>
    <x v="10"/>
    <m/>
    <x v="0"/>
    <m/>
    <m/>
    <n v="350"/>
    <n v="350"/>
    <n v="393.75"/>
  </r>
  <r>
    <x v="17"/>
    <x v="2"/>
    <x v="7"/>
    <x v="148"/>
    <x v="20"/>
    <x v="1"/>
    <n v="12.5"/>
    <n v="0"/>
    <x v="10"/>
    <m/>
    <x v="0"/>
    <m/>
    <m/>
    <n v="350"/>
    <n v="350"/>
    <n v="393.75"/>
  </r>
  <r>
    <x v="17"/>
    <x v="2"/>
    <x v="7"/>
    <x v="149"/>
    <x v="20"/>
    <x v="1"/>
    <n v="12.5"/>
    <n v="0"/>
    <x v="10"/>
    <m/>
    <x v="0"/>
    <m/>
    <m/>
    <n v="350"/>
    <n v="350"/>
    <n v="393.75"/>
  </r>
  <r>
    <x v="17"/>
    <x v="2"/>
    <x v="7"/>
    <x v="175"/>
    <x v="20"/>
    <x v="1"/>
    <n v="12.5"/>
    <n v="0"/>
    <x v="10"/>
    <m/>
    <x v="0"/>
    <m/>
    <m/>
    <n v="350"/>
    <n v="350"/>
    <n v="393.75"/>
  </r>
  <r>
    <x v="17"/>
    <x v="2"/>
    <x v="7"/>
    <x v="150"/>
    <x v="20"/>
    <x v="1"/>
    <n v="12.5"/>
    <n v="0"/>
    <x v="10"/>
    <m/>
    <x v="0"/>
    <m/>
    <m/>
    <n v="350"/>
    <n v="350"/>
    <n v="393.75"/>
  </r>
  <r>
    <x v="17"/>
    <x v="2"/>
    <x v="7"/>
    <x v="176"/>
    <x v="20"/>
    <x v="1"/>
    <n v="12.5"/>
    <n v="0"/>
    <x v="10"/>
    <m/>
    <x v="0"/>
    <m/>
    <m/>
    <n v="350"/>
    <n v="350"/>
    <n v="393.75"/>
  </r>
  <r>
    <x v="17"/>
    <x v="2"/>
    <x v="7"/>
    <x v="151"/>
    <x v="20"/>
    <x v="1"/>
    <n v="12.5"/>
    <n v="0"/>
    <x v="10"/>
    <m/>
    <x v="0"/>
    <m/>
    <m/>
    <n v="350"/>
    <n v="350"/>
    <n v="393.75"/>
  </r>
  <r>
    <x v="17"/>
    <x v="2"/>
    <x v="7"/>
    <x v="152"/>
    <x v="20"/>
    <x v="1"/>
    <n v="12.5"/>
    <n v="0"/>
    <x v="10"/>
    <m/>
    <x v="0"/>
    <m/>
    <m/>
    <n v="350"/>
    <n v="350"/>
    <n v="393.75"/>
  </r>
  <r>
    <x v="17"/>
    <x v="2"/>
    <x v="7"/>
    <x v="153"/>
    <x v="20"/>
    <x v="1"/>
    <n v="12.5"/>
    <n v="0"/>
    <x v="10"/>
    <m/>
    <x v="0"/>
    <m/>
    <m/>
    <n v="350"/>
    <n v="350"/>
    <n v="393.75"/>
  </r>
  <r>
    <x v="17"/>
    <x v="2"/>
    <x v="7"/>
    <x v="154"/>
    <x v="20"/>
    <x v="1"/>
    <n v="12.5"/>
    <n v="0"/>
    <x v="10"/>
    <m/>
    <x v="0"/>
    <m/>
    <m/>
    <n v="350"/>
    <n v="350"/>
    <n v="393.75"/>
  </r>
  <r>
    <x v="17"/>
    <x v="2"/>
    <x v="7"/>
    <x v="155"/>
    <x v="20"/>
    <x v="1"/>
    <n v="12.5"/>
    <n v="0"/>
    <x v="10"/>
    <m/>
    <x v="0"/>
    <m/>
    <m/>
    <n v="350"/>
    <n v="350"/>
    <n v="393.75"/>
  </r>
  <r>
    <x v="17"/>
    <x v="2"/>
    <x v="7"/>
    <x v="177"/>
    <x v="20"/>
    <x v="1"/>
    <n v="12.5"/>
    <n v="0"/>
    <x v="10"/>
    <m/>
    <x v="0"/>
    <m/>
    <m/>
    <n v="350"/>
    <n v="350"/>
    <n v="393.75"/>
  </r>
  <r>
    <x v="17"/>
    <x v="2"/>
    <x v="7"/>
    <x v="156"/>
    <x v="20"/>
    <x v="1"/>
    <n v="12.5"/>
    <n v="0"/>
    <x v="10"/>
    <m/>
    <x v="0"/>
    <m/>
    <m/>
    <n v="350"/>
    <n v="350"/>
    <n v="393.75"/>
  </r>
  <r>
    <x v="17"/>
    <x v="2"/>
    <x v="7"/>
    <x v="157"/>
    <x v="20"/>
    <x v="1"/>
    <n v="12.5"/>
    <n v="0"/>
    <x v="10"/>
    <m/>
    <x v="0"/>
    <m/>
    <m/>
    <n v="350"/>
    <n v="350"/>
    <n v="393.75"/>
  </r>
  <r>
    <x v="17"/>
    <x v="2"/>
    <x v="7"/>
    <x v="158"/>
    <x v="20"/>
    <x v="1"/>
    <n v="12.5"/>
    <n v="0"/>
    <x v="10"/>
    <m/>
    <x v="0"/>
    <m/>
    <m/>
    <n v="350"/>
    <n v="350"/>
    <n v="393.75"/>
  </r>
  <r>
    <x v="17"/>
    <x v="2"/>
    <x v="7"/>
    <x v="159"/>
    <x v="20"/>
    <x v="1"/>
    <n v="12.5"/>
    <n v="0"/>
    <x v="10"/>
    <m/>
    <x v="0"/>
    <m/>
    <m/>
    <n v="350"/>
    <n v="350"/>
    <n v="393.75"/>
  </r>
  <r>
    <x v="17"/>
    <x v="2"/>
    <x v="7"/>
    <x v="160"/>
    <x v="20"/>
    <x v="1"/>
    <n v="12.5"/>
    <n v="0"/>
    <x v="10"/>
    <m/>
    <x v="0"/>
    <m/>
    <m/>
    <n v="350"/>
    <n v="350"/>
    <n v="393.75"/>
  </r>
  <r>
    <x v="17"/>
    <x v="2"/>
    <x v="7"/>
    <x v="161"/>
    <x v="20"/>
    <x v="1"/>
    <n v="12.5"/>
    <n v="0"/>
    <x v="10"/>
    <m/>
    <x v="0"/>
    <m/>
    <m/>
    <n v="350"/>
    <n v="350"/>
    <n v="393.75"/>
  </r>
  <r>
    <x v="17"/>
    <x v="2"/>
    <x v="7"/>
    <x v="162"/>
    <x v="20"/>
    <x v="1"/>
    <n v="12.5"/>
    <n v="0"/>
    <x v="10"/>
    <m/>
    <x v="0"/>
    <m/>
    <m/>
    <n v="350"/>
    <n v="350"/>
    <n v="393.75"/>
  </r>
  <r>
    <x v="17"/>
    <x v="2"/>
    <x v="7"/>
    <x v="163"/>
    <x v="20"/>
    <x v="1"/>
    <n v="12.5"/>
    <n v="0"/>
    <x v="10"/>
    <m/>
    <x v="0"/>
    <m/>
    <m/>
    <n v="350"/>
    <n v="350"/>
    <n v="393.75"/>
  </r>
  <r>
    <x v="17"/>
    <x v="2"/>
    <x v="7"/>
    <x v="164"/>
    <x v="20"/>
    <x v="1"/>
    <n v="12.5"/>
    <n v="0"/>
    <x v="10"/>
    <m/>
    <x v="0"/>
    <m/>
    <m/>
    <n v="350"/>
    <n v="350"/>
    <n v="393.75"/>
  </r>
  <r>
    <x v="17"/>
    <x v="2"/>
    <x v="7"/>
    <x v="178"/>
    <x v="20"/>
    <x v="1"/>
    <n v="12.5"/>
    <n v="0"/>
    <x v="10"/>
    <m/>
    <x v="0"/>
    <m/>
    <m/>
    <n v="350"/>
    <n v="350"/>
    <n v="393.75"/>
  </r>
  <r>
    <x v="17"/>
    <x v="2"/>
    <x v="7"/>
    <x v="534"/>
    <x v="21"/>
    <x v="1"/>
    <n v="12.5"/>
    <n v="0"/>
    <x v="10"/>
    <m/>
    <x v="0"/>
    <m/>
    <m/>
    <n v="350"/>
    <n v="350"/>
    <n v="393.75"/>
  </r>
  <r>
    <x v="17"/>
    <x v="2"/>
    <x v="7"/>
    <x v="179"/>
    <x v="21"/>
    <x v="1"/>
    <n v="12.5"/>
    <n v="0"/>
    <x v="10"/>
    <m/>
    <x v="0"/>
    <m/>
    <m/>
    <n v="350"/>
    <n v="350"/>
    <n v="393.75"/>
  </r>
  <r>
    <x v="17"/>
    <x v="2"/>
    <x v="7"/>
    <x v="535"/>
    <x v="21"/>
    <x v="1"/>
    <n v="12.5"/>
    <n v="0"/>
    <x v="10"/>
    <m/>
    <x v="0"/>
    <m/>
    <m/>
    <n v="350"/>
    <n v="350"/>
    <n v="393.75"/>
  </r>
  <r>
    <x v="17"/>
    <x v="2"/>
    <x v="7"/>
    <x v="417"/>
    <x v="21"/>
    <x v="1"/>
    <n v="12.5"/>
    <n v="0"/>
    <x v="10"/>
    <m/>
    <x v="0"/>
    <m/>
    <m/>
    <n v="350"/>
    <n v="350"/>
    <n v="393.75"/>
  </r>
  <r>
    <x v="17"/>
    <x v="2"/>
    <x v="7"/>
    <x v="180"/>
    <x v="21"/>
    <x v="1"/>
    <n v="12.5"/>
    <n v="0"/>
    <x v="10"/>
    <m/>
    <x v="0"/>
    <m/>
    <m/>
    <n v="350"/>
    <n v="350"/>
    <n v="393.75"/>
  </r>
  <r>
    <x v="17"/>
    <x v="2"/>
    <x v="7"/>
    <x v="181"/>
    <x v="21"/>
    <x v="1"/>
    <n v="12.5"/>
    <n v="0"/>
    <x v="10"/>
    <m/>
    <x v="0"/>
    <m/>
    <m/>
    <n v="350"/>
    <n v="350"/>
    <n v="393.75"/>
  </r>
  <r>
    <x v="17"/>
    <x v="2"/>
    <x v="7"/>
    <x v="182"/>
    <x v="21"/>
    <x v="1"/>
    <n v="12.5"/>
    <n v="0"/>
    <x v="10"/>
    <m/>
    <x v="0"/>
    <m/>
    <m/>
    <n v="350"/>
    <n v="350"/>
    <n v="393.75"/>
  </r>
  <r>
    <x v="17"/>
    <x v="2"/>
    <x v="7"/>
    <x v="183"/>
    <x v="21"/>
    <x v="1"/>
    <n v="12.5"/>
    <n v="0"/>
    <x v="10"/>
    <m/>
    <x v="0"/>
    <m/>
    <m/>
    <n v="350"/>
    <n v="350"/>
    <n v="393.75"/>
  </r>
  <r>
    <x v="17"/>
    <x v="2"/>
    <x v="7"/>
    <x v="184"/>
    <x v="21"/>
    <x v="1"/>
    <n v="12.5"/>
    <n v="0"/>
    <x v="10"/>
    <m/>
    <x v="0"/>
    <m/>
    <m/>
    <n v="350"/>
    <n v="350"/>
    <n v="393.75"/>
  </r>
  <r>
    <x v="17"/>
    <x v="2"/>
    <x v="7"/>
    <x v="185"/>
    <x v="21"/>
    <x v="1"/>
    <n v="12.5"/>
    <n v="0"/>
    <x v="10"/>
    <m/>
    <x v="0"/>
    <m/>
    <m/>
    <n v="350"/>
    <n v="350"/>
    <n v="393.75"/>
  </r>
  <r>
    <x v="17"/>
    <x v="2"/>
    <x v="7"/>
    <x v="186"/>
    <x v="21"/>
    <x v="1"/>
    <n v="12.5"/>
    <n v="0"/>
    <x v="10"/>
    <m/>
    <x v="0"/>
    <m/>
    <m/>
    <n v="350"/>
    <n v="350"/>
    <n v="393.75"/>
  </r>
  <r>
    <x v="17"/>
    <x v="2"/>
    <x v="7"/>
    <x v="187"/>
    <x v="21"/>
    <x v="1"/>
    <n v="12.5"/>
    <n v="0"/>
    <x v="10"/>
    <m/>
    <x v="0"/>
    <m/>
    <m/>
    <n v="350"/>
    <n v="350"/>
    <n v="393.75"/>
  </r>
  <r>
    <x v="17"/>
    <x v="2"/>
    <x v="7"/>
    <x v="188"/>
    <x v="21"/>
    <x v="1"/>
    <n v="12.5"/>
    <n v="0"/>
    <x v="10"/>
    <m/>
    <x v="0"/>
    <m/>
    <m/>
    <n v="350"/>
    <n v="350"/>
    <n v="393.75"/>
  </r>
  <r>
    <x v="17"/>
    <x v="2"/>
    <x v="7"/>
    <x v="189"/>
    <x v="21"/>
    <x v="1"/>
    <n v="12.5"/>
    <n v="0"/>
    <x v="10"/>
    <m/>
    <x v="0"/>
    <m/>
    <m/>
    <n v="350"/>
    <n v="350"/>
    <n v="393.75"/>
  </r>
  <r>
    <x v="17"/>
    <x v="2"/>
    <x v="7"/>
    <x v="190"/>
    <x v="21"/>
    <x v="1"/>
    <n v="12.5"/>
    <n v="0"/>
    <x v="10"/>
    <m/>
    <x v="0"/>
    <m/>
    <m/>
    <n v="350"/>
    <n v="350"/>
    <n v="393.75"/>
  </r>
  <r>
    <x v="17"/>
    <x v="2"/>
    <x v="7"/>
    <x v="191"/>
    <x v="21"/>
    <x v="1"/>
    <n v="12.5"/>
    <n v="0"/>
    <x v="10"/>
    <m/>
    <x v="0"/>
    <m/>
    <m/>
    <n v="350"/>
    <n v="350"/>
    <n v="393.75"/>
  </r>
  <r>
    <x v="17"/>
    <x v="2"/>
    <x v="7"/>
    <x v="192"/>
    <x v="21"/>
    <x v="1"/>
    <n v="12.5"/>
    <n v="0"/>
    <x v="10"/>
    <m/>
    <x v="0"/>
    <m/>
    <m/>
    <n v="350"/>
    <n v="350"/>
    <n v="393.75"/>
  </r>
  <r>
    <x v="17"/>
    <x v="2"/>
    <x v="7"/>
    <x v="193"/>
    <x v="21"/>
    <x v="1"/>
    <n v="12.5"/>
    <n v="0"/>
    <x v="10"/>
    <m/>
    <x v="0"/>
    <m/>
    <m/>
    <n v="350"/>
    <n v="350"/>
    <n v="393.75"/>
  </r>
  <r>
    <x v="17"/>
    <x v="2"/>
    <x v="7"/>
    <x v="194"/>
    <x v="21"/>
    <x v="1"/>
    <n v="12.5"/>
    <n v="0"/>
    <x v="10"/>
    <m/>
    <x v="0"/>
    <m/>
    <m/>
    <n v="350"/>
    <n v="350"/>
    <n v="393.75"/>
  </r>
  <r>
    <x v="17"/>
    <x v="2"/>
    <x v="7"/>
    <x v="7"/>
    <x v="21"/>
    <x v="1"/>
    <n v="12.5"/>
    <n v="0"/>
    <x v="10"/>
    <m/>
    <x v="0"/>
    <m/>
    <m/>
    <n v="350"/>
    <n v="350"/>
    <n v="393.75"/>
  </r>
  <r>
    <x v="17"/>
    <x v="2"/>
    <x v="7"/>
    <x v="195"/>
    <x v="21"/>
    <x v="1"/>
    <n v="12.5"/>
    <n v="0"/>
    <x v="10"/>
    <m/>
    <x v="0"/>
    <m/>
    <m/>
    <n v="350"/>
    <n v="350"/>
    <n v="393.75"/>
  </r>
  <r>
    <x v="17"/>
    <x v="2"/>
    <x v="7"/>
    <x v="196"/>
    <x v="21"/>
    <x v="1"/>
    <n v="12.5"/>
    <n v="0"/>
    <x v="10"/>
    <m/>
    <x v="0"/>
    <m/>
    <m/>
    <n v="350"/>
    <n v="350"/>
    <n v="393.75"/>
  </r>
  <r>
    <x v="17"/>
    <x v="2"/>
    <x v="7"/>
    <x v="197"/>
    <x v="21"/>
    <x v="1"/>
    <n v="12.5"/>
    <n v="0"/>
    <x v="10"/>
    <m/>
    <x v="0"/>
    <m/>
    <m/>
    <n v="350"/>
    <n v="350"/>
    <n v="393.75"/>
  </r>
  <r>
    <x v="17"/>
    <x v="2"/>
    <x v="7"/>
    <x v="198"/>
    <x v="21"/>
    <x v="1"/>
    <n v="12.5"/>
    <n v="0"/>
    <x v="10"/>
    <m/>
    <x v="0"/>
    <m/>
    <m/>
    <n v="350"/>
    <n v="350"/>
    <n v="393.75"/>
  </r>
  <r>
    <x v="17"/>
    <x v="2"/>
    <x v="7"/>
    <x v="199"/>
    <x v="21"/>
    <x v="1"/>
    <n v="12.5"/>
    <n v="0"/>
    <x v="10"/>
    <m/>
    <x v="0"/>
    <m/>
    <m/>
    <n v="350"/>
    <n v="350"/>
    <n v="393.75"/>
  </r>
  <r>
    <x v="17"/>
    <x v="2"/>
    <x v="7"/>
    <x v="200"/>
    <x v="21"/>
    <x v="1"/>
    <n v="12.5"/>
    <n v="0"/>
    <x v="10"/>
    <m/>
    <x v="0"/>
    <m/>
    <m/>
    <n v="350"/>
    <n v="350"/>
    <n v="393.75"/>
  </r>
  <r>
    <x v="17"/>
    <x v="2"/>
    <x v="7"/>
    <x v="201"/>
    <x v="21"/>
    <x v="1"/>
    <n v="12.5"/>
    <n v="0"/>
    <x v="10"/>
    <m/>
    <x v="0"/>
    <m/>
    <m/>
    <n v="350"/>
    <n v="350"/>
    <n v="393.75"/>
  </r>
  <r>
    <x v="17"/>
    <x v="2"/>
    <x v="7"/>
    <x v="202"/>
    <x v="21"/>
    <x v="1"/>
    <n v="12.5"/>
    <n v="0"/>
    <x v="10"/>
    <m/>
    <x v="0"/>
    <m/>
    <m/>
    <n v="350"/>
    <n v="350"/>
    <n v="393.75"/>
  </r>
  <r>
    <x v="17"/>
    <x v="2"/>
    <x v="7"/>
    <x v="203"/>
    <x v="21"/>
    <x v="1"/>
    <n v="12.5"/>
    <n v="0"/>
    <x v="10"/>
    <m/>
    <x v="0"/>
    <m/>
    <m/>
    <n v="350"/>
    <n v="350"/>
    <n v="393.75"/>
  </r>
  <r>
    <x v="17"/>
    <x v="2"/>
    <x v="7"/>
    <x v="204"/>
    <x v="21"/>
    <x v="1"/>
    <n v="12.5"/>
    <n v="0"/>
    <x v="10"/>
    <m/>
    <x v="0"/>
    <m/>
    <m/>
    <n v="350"/>
    <n v="350"/>
    <n v="393.75"/>
  </r>
  <r>
    <x v="17"/>
    <x v="2"/>
    <x v="7"/>
    <x v="205"/>
    <x v="21"/>
    <x v="1"/>
    <n v="12.5"/>
    <n v="0"/>
    <x v="10"/>
    <m/>
    <x v="0"/>
    <m/>
    <m/>
    <n v="350"/>
    <n v="350"/>
    <n v="393.75"/>
  </r>
  <r>
    <x v="17"/>
    <x v="2"/>
    <x v="7"/>
    <x v="206"/>
    <x v="21"/>
    <x v="1"/>
    <n v="12.5"/>
    <n v="0"/>
    <x v="10"/>
    <m/>
    <x v="0"/>
    <m/>
    <m/>
    <n v="350"/>
    <n v="350"/>
    <n v="393.75"/>
  </r>
  <r>
    <x v="17"/>
    <x v="2"/>
    <x v="7"/>
    <x v="207"/>
    <x v="21"/>
    <x v="1"/>
    <n v="12.5"/>
    <n v="0"/>
    <x v="10"/>
    <m/>
    <x v="0"/>
    <m/>
    <m/>
    <n v="350"/>
    <n v="350"/>
    <n v="393.75"/>
  </r>
  <r>
    <x v="17"/>
    <x v="2"/>
    <x v="7"/>
    <x v="208"/>
    <x v="21"/>
    <x v="1"/>
    <n v="12.5"/>
    <n v="0"/>
    <x v="10"/>
    <m/>
    <x v="0"/>
    <m/>
    <m/>
    <n v="350"/>
    <n v="350"/>
    <n v="393.75"/>
  </r>
  <r>
    <x v="17"/>
    <x v="2"/>
    <x v="7"/>
    <x v="209"/>
    <x v="21"/>
    <x v="1"/>
    <n v="12.5"/>
    <n v="0"/>
    <x v="10"/>
    <m/>
    <x v="0"/>
    <m/>
    <m/>
    <n v="350"/>
    <n v="350"/>
    <n v="393.75"/>
  </r>
  <r>
    <x v="17"/>
    <x v="2"/>
    <x v="7"/>
    <x v="210"/>
    <x v="21"/>
    <x v="1"/>
    <n v="12.5"/>
    <n v="0"/>
    <x v="10"/>
    <m/>
    <x v="0"/>
    <m/>
    <m/>
    <n v="350"/>
    <n v="350"/>
    <n v="393.75"/>
  </r>
  <r>
    <x v="17"/>
    <x v="2"/>
    <x v="7"/>
    <x v="211"/>
    <x v="21"/>
    <x v="1"/>
    <n v="12.5"/>
    <n v="0"/>
    <x v="10"/>
    <m/>
    <x v="0"/>
    <m/>
    <m/>
    <n v="350"/>
    <n v="350"/>
    <n v="393.75"/>
  </r>
  <r>
    <x v="17"/>
    <x v="2"/>
    <x v="7"/>
    <x v="212"/>
    <x v="21"/>
    <x v="1"/>
    <n v="12.5"/>
    <n v="0"/>
    <x v="10"/>
    <m/>
    <x v="0"/>
    <m/>
    <m/>
    <n v="350"/>
    <n v="350"/>
    <n v="393.75"/>
  </r>
  <r>
    <x v="17"/>
    <x v="2"/>
    <x v="7"/>
    <x v="213"/>
    <x v="21"/>
    <x v="1"/>
    <n v="12.5"/>
    <n v="0"/>
    <x v="10"/>
    <m/>
    <x v="0"/>
    <m/>
    <m/>
    <n v="350"/>
    <n v="350"/>
    <n v="393.75"/>
  </r>
  <r>
    <x v="17"/>
    <x v="2"/>
    <x v="7"/>
    <x v="214"/>
    <x v="21"/>
    <x v="1"/>
    <n v="12.5"/>
    <n v="0"/>
    <x v="10"/>
    <m/>
    <x v="0"/>
    <m/>
    <m/>
    <n v="350"/>
    <n v="350"/>
    <n v="393.75"/>
  </r>
  <r>
    <x v="17"/>
    <x v="2"/>
    <x v="7"/>
    <x v="215"/>
    <x v="21"/>
    <x v="1"/>
    <n v="12.5"/>
    <n v="0"/>
    <x v="10"/>
    <m/>
    <x v="0"/>
    <m/>
    <m/>
    <n v="350"/>
    <n v="350"/>
    <n v="393.75"/>
  </r>
  <r>
    <x v="17"/>
    <x v="2"/>
    <x v="7"/>
    <x v="216"/>
    <x v="21"/>
    <x v="1"/>
    <n v="12.5"/>
    <n v="0"/>
    <x v="10"/>
    <m/>
    <x v="0"/>
    <m/>
    <m/>
    <n v="350"/>
    <n v="350"/>
    <n v="393.75"/>
  </r>
  <r>
    <x v="17"/>
    <x v="2"/>
    <x v="7"/>
    <x v="217"/>
    <x v="21"/>
    <x v="1"/>
    <n v="12.5"/>
    <n v="0"/>
    <x v="10"/>
    <m/>
    <x v="0"/>
    <m/>
    <m/>
    <n v="350"/>
    <n v="350"/>
    <n v="393.75"/>
  </r>
  <r>
    <x v="17"/>
    <x v="2"/>
    <x v="7"/>
    <x v="218"/>
    <x v="21"/>
    <x v="1"/>
    <n v="12.5"/>
    <n v="0"/>
    <x v="10"/>
    <m/>
    <x v="0"/>
    <m/>
    <m/>
    <n v="350"/>
    <n v="350"/>
    <n v="393.75"/>
  </r>
  <r>
    <x v="17"/>
    <x v="2"/>
    <x v="7"/>
    <x v="219"/>
    <x v="21"/>
    <x v="1"/>
    <n v="12.5"/>
    <n v="0"/>
    <x v="10"/>
    <m/>
    <x v="0"/>
    <m/>
    <m/>
    <n v="350"/>
    <n v="350"/>
    <n v="393.75"/>
  </r>
  <r>
    <x v="17"/>
    <x v="2"/>
    <x v="7"/>
    <x v="220"/>
    <x v="21"/>
    <x v="1"/>
    <n v="12.5"/>
    <n v="0"/>
    <x v="10"/>
    <m/>
    <x v="0"/>
    <m/>
    <m/>
    <n v="350"/>
    <n v="350"/>
    <n v="393.75"/>
  </r>
  <r>
    <x v="17"/>
    <x v="2"/>
    <x v="7"/>
    <x v="221"/>
    <x v="21"/>
    <x v="1"/>
    <n v="12.5"/>
    <n v="0"/>
    <x v="10"/>
    <m/>
    <x v="0"/>
    <m/>
    <m/>
    <n v="350"/>
    <n v="350"/>
    <n v="393.75"/>
  </r>
  <r>
    <x v="17"/>
    <x v="2"/>
    <x v="7"/>
    <x v="222"/>
    <x v="21"/>
    <x v="1"/>
    <n v="12.5"/>
    <n v="0"/>
    <x v="10"/>
    <m/>
    <x v="0"/>
    <m/>
    <m/>
    <n v="350"/>
    <n v="350"/>
    <n v="393.75"/>
  </r>
  <r>
    <x v="17"/>
    <x v="2"/>
    <x v="7"/>
    <x v="223"/>
    <x v="21"/>
    <x v="1"/>
    <n v="12.5"/>
    <n v="0"/>
    <x v="10"/>
    <m/>
    <x v="0"/>
    <m/>
    <m/>
    <n v="350"/>
    <n v="350"/>
    <n v="393.75"/>
  </r>
  <r>
    <x v="17"/>
    <x v="2"/>
    <x v="7"/>
    <x v="224"/>
    <x v="21"/>
    <x v="1"/>
    <n v="12.5"/>
    <n v="0"/>
    <x v="10"/>
    <m/>
    <x v="0"/>
    <m/>
    <m/>
    <n v="350"/>
    <n v="350"/>
    <n v="393.75"/>
  </r>
  <r>
    <x v="17"/>
    <x v="2"/>
    <x v="7"/>
    <x v="225"/>
    <x v="21"/>
    <x v="1"/>
    <n v="12.5"/>
    <n v="0"/>
    <x v="10"/>
    <m/>
    <x v="0"/>
    <m/>
    <m/>
    <n v="350"/>
    <n v="350"/>
    <n v="393.75"/>
  </r>
  <r>
    <x v="17"/>
    <x v="2"/>
    <x v="7"/>
    <x v="226"/>
    <x v="21"/>
    <x v="1"/>
    <n v="12.5"/>
    <n v="0"/>
    <x v="10"/>
    <m/>
    <x v="0"/>
    <m/>
    <m/>
    <n v="350"/>
    <n v="350"/>
    <n v="393.75"/>
  </r>
  <r>
    <x v="17"/>
    <x v="2"/>
    <x v="7"/>
    <x v="227"/>
    <x v="21"/>
    <x v="1"/>
    <n v="12.5"/>
    <n v="0"/>
    <x v="10"/>
    <m/>
    <x v="0"/>
    <m/>
    <m/>
    <n v="350"/>
    <n v="350"/>
    <n v="393.75"/>
  </r>
  <r>
    <x v="17"/>
    <x v="2"/>
    <x v="7"/>
    <x v="228"/>
    <x v="21"/>
    <x v="1"/>
    <n v="12.5"/>
    <n v="0"/>
    <x v="10"/>
    <m/>
    <x v="0"/>
    <m/>
    <m/>
    <n v="350"/>
    <n v="350"/>
    <n v="393.75"/>
  </r>
  <r>
    <x v="17"/>
    <x v="2"/>
    <x v="7"/>
    <x v="582"/>
    <x v="21"/>
    <x v="1"/>
    <n v="12.5"/>
    <n v="0"/>
    <x v="10"/>
    <m/>
    <x v="0"/>
    <m/>
    <m/>
    <n v="350"/>
    <n v="350"/>
    <n v="393.75"/>
  </r>
  <r>
    <x v="17"/>
    <x v="2"/>
    <x v="7"/>
    <x v="583"/>
    <x v="21"/>
    <x v="1"/>
    <n v="12.5"/>
    <n v="0"/>
    <x v="10"/>
    <m/>
    <x v="0"/>
    <m/>
    <m/>
    <n v="350"/>
    <n v="350"/>
    <n v="393.75"/>
  </r>
  <r>
    <x v="17"/>
    <x v="2"/>
    <x v="7"/>
    <x v="584"/>
    <x v="21"/>
    <x v="1"/>
    <n v="12.5"/>
    <n v="0"/>
    <x v="10"/>
    <m/>
    <x v="0"/>
    <m/>
    <m/>
    <n v="350"/>
    <n v="350"/>
    <n v="393.75"/>
  </r>
  <r>
    <x v="17"/>
    <x v="2"/>
    <x v="7"/>
    <x v="585"/>
    <x v="21"/>
    <x v="1"/>
    <n v="12.5"/>
    <n v="0"/>
    <x v="10"/>
    <m/>
    <x v="0"/>
    <m/>
    <m/>
    <n v="350"/>
    <n v="350"/>
    <n v="393.75"/>
  </r>
  <r>
    <x v="18"/>
    <x v="5"/>
    <x v="11"/>
    <x v="693"/>
    <x v="24"/>
    <x v="1"/>
    <m/>
    <m/>
    <x v="10"/>
    <m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57802-F1A4-45F5-A46B-649C0B7206C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orre/Orientación/Unidad">
  <location ref="C52:D416" firstHeaderRow="1" firstDataRow="1" firstDataCol="1" rowPageCount="2" colPageCount="1"/>
  <pivotFields count="16">
    <pivotField name="PROYECTO" axis="axisPage" multipleItemSelectionAllowed="1" showAll="0">
      <items count="21">
        <item h="1" x="0"/>
        <item h="1" m="1" x="19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8"/>
        <item h="1" x="17"/>
        <item t="default"/>
      </items>
    </pivotField>
    <pivotField name="TIPO UNIDAD" multipleItemSelectionAllowed="1" showAll="0"/>
    <pivotField name="TIPOLOGÍA" axis="axisPage" multipleItemSelectionAllowed="1" showAll="0">
      <items count="16">
        <item h="1" x="0"/>
        <item h="1" x="1"/>
        <item h="1" x="2"/>
        <item h="1" x="3"/>
        <item h="1" m="1" x="12"/>
        <item h="1" x="10"/>
        <item h="1" x="4"/>
        <item h="1" x="5"/>
        <item h="1" m="1" x="13"/>
        <item h="1" x="6"/>
        <item x="7"/>
        <item h="1" x="8"/>
        <item h="1" x="9"/>
        <item m="1" x="14"/>
        <item h="1" x="11"/>
        <item t="default"/>
      </items>
    </pivotField>
    <pivotField axis="axisRow" multipleItemSelectionAllowed="1" showAll="0" sortType="ascending">
      <items count="699">
        <item x="103"/>
        <item x="104"/>
        <item x="105"/>
        <item x="106"/>
        <item x="107"/>
        <item x="273"/>
        <item x="108"/>
        <item x="109"/>
        <item x="165"/>
        <item x="274"/>
        <item x="110"/>
        <item x="111"/>
        <item x="112"/>
        <item x="113"/>
        <item x="114"/>
        <item x="115"/>
        <item x="116"/>
        <item x="117"/>
        <item x="166"/>
        <item x="118"/>
        <item x="119"/>
        <item x="120"/>
        <item x="275"/>
        <item x="121"/>
        <item x="122"/>
        <item x="123"/>
        <item x="167"/>
        <item x="124"/>
        <item x="125"/>
        <item x="126"/>
        <item x="127"/>
        <item x="27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68"/>
        <item x="397"/>
        <item x="169"/>
        <item x="170"/>
        <item x="398"/>
        <item x="171"/>
        <item x="399"/>
        <item x="172"/>
        <item x="147"/>
        <item x="173"/>
        <item x="174"/>
        <item x="148"/>
        <item x="149"/>
        <item x="175"/>
        <item x="150"/>
        <item x="176"/>
        <item x="151"/>
        <item x="152"/>
        <item x="153"/>
        <item x="154"/>
        <item x="155"/>
        <item x="177"/>
        <item x="156"/>
        <item x="157"/>
        <item x="158"/>
        <item x="159"/>
        <item x="160"/>
        <item x="161"/>
        <item x="162"/>
        <item x="163"/>
        <item x="164"/>
        <item x="178"/>
        <item x="534"/>
        <item x="179"/>
        <item x="535"/>
        <item x="417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7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582"/>
        <item x="583"/>
        <item x="584"/>
        <item x="585"/>
        <item x="418"/>
        <item x="419"/>
        <item x="420"/>
        <item x="586"/>
        <item x="587"/>
        <item x="421"/>
        <item x="588"/>
        <item x="589"/>
        <item x="634"/>
        <item x="635"/>
        <item x="636"/>
        <item x="637"/>
        <item x="422"/>
        <item x="423"/>
        <item x="638"/>
        <item x="594"/>
        <item x="424"/>
        <item x="655"/>
        <item x="656"/>
        <item x="657"/>
        <item x="595"/>
        <item x="639"/>
        <item x="425"/>
        <item x="426"/>
        <item x="640"/>
        <item x="641"/>
        <item x="427"/>
        <item x="428"/>
        <item x="429"/>
        <item x="642"/>
        <item x="430"/>
        <item x="431"/>
        <item x="643"/>
        <item x="432"/>
        <item x="433"/>
        <item x="434"/>
        <item x="435"/>
        <item x="644"/>
        <item x="645"/>
        <item x="646"/>
        <item x="647"/>
        <item x="648"/>
        <item x="649"/>
        <item x="436"/>
        <item x="650"/>
        <item x="651"/>
        <item x="596"/>
        <item x="652"/>
        <item x="653"/>
        <item x="654"/>
        <item x="437"/>
        <item m="1" x="696"/>
        <item x="438"/>
        <item x="277"/>
        <item x="369"/>
        <item x="290"/>
        <item x="406"/>
        <item x="236"/>
        <item x="439"/>
        <item x="388"/>
        <item x="291"/>
        <item x="351"/>
        <item x="292"/>
        <item x="370"/>
        <item x="293"/>
        <item x="294"/>
        <item x="371"/>
        <item x="295"/>
        <item x="352"/>
        <item x="3"/>
        <item x="296"/>
        <item x="353"/>
        <item x="297"/>
        <item x="243"/>
        <item x="554"/>
        <item x="244"/>
        <item x="245"/>
        <item x="246"/>
        <item x="440"/>
        <item x="247"/>
        <item x="597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278"/>
        <item x="73"/>
        <item x="401"/>
        <item x="298"/>
        <item x="372"/>
        <item x="279"/>
        <item x="237"/>
        <item x="299"/>
        <item x="354"/>
        <item x="300"/>
        <item x="402"/>
        <item x="301"/>
        <item x="229"/>
        <item x="373"/>
        <item x="302"/>
        <item x="355"/>
        <item x="4"/>
        <item x="303"/>
        <item x="356"/>
        <item x="0"/>
        <item x="248"/>
        <item x="474"/>
        <item x="475"/>
        <item x="249"/>
        <item x="250"/>
        <item x="476"/>
        <item x="477"/>
        <item x="626"/>
        <item x="478"/>
        <item x="479"/>
        <item m="1" x="697"/>
        <item x="480"/>
        <item x="481"/>
        <item x="482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5"/>
        <item x="506"/>
        <item x="507"/>
        <item x="508"/>
        <item x="509"/>
        <item x="510"/>
        <item x="511"/>
        <item x="512"/>
        <item x="513"/>
        <item x="514"/>
        <item x="280"/>
        <item x="374"/>
        <item x="304"/>
        <item x="238"/>
        <item x="8"/>
        <item x="281"/>
        <item x="515"/>
        <item x="305"/>
        <item x="357"/>
        <item x="306"/>
        <item x="375"/>
        <item x="307"/>
        <item x="308"/>
        <item x="9"/>
        <item x="309"/>
        <item x="358"/>
        <item x="5"/>
        <item x="310"/>
        <item x="359"/>
        <item x="251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82"/>
        <item x="376"/>
        <item x="311"/>
        <item x="312"/>
        <item x="377"/>
        <item x="283"/>
        <item x="531"/>
        <item x="313"/>
        <item x="10"/>
        <item x="314"/>
        <item x="532"/>
        <item x="315"/>
        <item x="11"/>
        <item x="378"/>
        <item x="316"/>
        <item x="360"/>
        <item x="389"/>
        <item x="317"/>
        <item x="252"/>
        <item x="318"/>
        <item x="555"/>
        <item x="407"/>
        <item x="253"/>
        <item x="254"/>
        <item m="1" x="695"/>
        <item x="255"/>
        <item x="256"/>
        <item x="599"/>
        <item x="284"/>
        <item x="74"/>
        <item x="319"/>
        <item x="320"/>
        <item x="379"/>
        <item x="285"/>
        <item x="533"/>
        <item x="321"/>
        <item x="12"/>
        <item x="322"/>
        <item x="380"/>
        <item x="323"/>
        <item x="13"/>
        <item x="408"/>
        <item x="324"/>
        <item x="361"/>
        <item x="390"/>
        <item x="325"/>
        <item x="362"/>
        <item x="326"/>
        <item x="633"/>
        <item x="556"/>
        <item x="627"/>
        <item x="257"/>
        <item x="600"/>
        <item x="258"/>
        <item x="259"/>
        <item x="601"/>
        <item x="602"/>
        <item x="75"/>
        <item x="76"/>
        <item x="327"/>
        <item x="328"/>
        <item x="14"/>
        <item x="286"/>
        <item x="391"/>
        <item x="329"/>
        <item x="15"/>
        <item x="330"/>
        <item x="239"/>
        <item x="331"/>
        <item x="16"/>
        <item x="381"/>
        <item x="332"/>
        <item x="260"/>
        <item x="392"/>
        <item x="333"/>
        <item x="363"/>
        <item x="334"/>
        <item x="409"/>
        <item x="410"/>
        <item x="261"/>
        <item x="262"/>
        <item x="263"/>
        <item x="603"/>
        <item x="622"/>
        <item x="264"/>
        <item x="604"/>
        <item x="605"/>
        <item x="77"/>
        <item x="78"/>
        <item x="335"/>
        <item x="336"/>
        <item x="17"/>
        <item x="287"/>
        <item x="6"/>
        <item x="18"/>
        <item x="19"/>
        <item x="337"/>
        <item x="382"/>
        <item x="338"/>
        <item x="20"/>
        <item x="383"/>
        <item x="339"/>
        <item x="265"/>
        <item x="266"/>
        <item x="267"/>
        <item x="364"/>
        <item x="340"/>
        <item x="268"/>
        <item x="557"/>
        <item x="628"/>
        <item x="269"/>
        <item x="606"/>
        <item x="270"/>
        <item x="271"/>
        <item x="272"/>
        <item x="607"/>
        <item x="608"/>
        <item x="79"/>
        <item x="80"/>
        <item x="240"/>
        <item x="241"/>
        <item x="21"/>
        <item x="288"/>
        <item x="393"/>
        <item x="22"/>
        <item x="23"/>
        <item x="341"/>
        <item x="384"/>
        <item x="342"/>
        <item x="24"/>
        <item x="385"/>
        <item x="343"/>
        <item x="365"/>
        <item x="394"/>
        <item x="25"/>
        <item x="366"/>
        <item x="344"/>
        <item x="411"/>
        <item x="412"/>
        <item x="629"/>
        <item x="623"/>
        <item x="609"/>
        <item x="610"/>
        <item x="624"/>
        <item x="611"/>
        <item x="612"/>
        <item x="81"/>
        <item x="82"/>
        <item x="345"/>
        <item x="346"/>
        <item x="26"/>
        <item x="289"/>
        <item x="395"/>
        <item x="27"/>
        <item x="28"/>
        <item x="347"/>
        <item x="386"/>
        <item x="348"/>
        <item x="29"/>
        <item x="387"/>
        <item x="349"/>
        <item x="367"/>
        <item x="396"/>
        <item x="30"/>
        <item x="368"/>
        <item x="350"/>
        <item x="413"/>
        <item x="414"/>
        <item x="630"/>
        <item x="613"/>
        <item x="614"/>
        <item x="625"/>
        <item x="631"/>
        <item x="615"/>
        <item x="616"/>
        <item x="83"/>
        <item x="84"/>
        <item x="546"/>
        <item x="403"/>
        <item x="400"/>
        <item x="536"/>
        <item x="558"/>
        <item x="31"/>
        <item x="32"/>
        <item x="674"/>
        <item x="559"/>
        <item x="404"/>
        <item x="33"/>
        <item x="405"/>
        <item x="617"/>
        <item x="547"/>
        <item x="560"/>
        <item x="34"/>
        <item x="415"/>
        <item x="416"/>
        <item x="561"/>
        <item x="562"/>
        <item x="593"/>
        <item x="591"/>
        <item x="618"/>
        <item x="619"/>
        <item x="632"/>
        <item x="620"/>
        <item x="621"/>
        <item x="85"/>
        <item x="86"/>
        <item x="548"/>
        <item x="541"/>
        <item x="35"/>
        <item x="537"/>
        <item x="563"/>
        <item x="36"/>
        <item x="37"/>
        <item x="538"/>
        <item x="564"/>
        <item x="542"/>
        <item x="38"/>
        <item x="230"/>
        <item x="231"/>
        <item x="549"/>
        <item x="565"/>
        <item x="39"/>
        <item x="566"/>
        <item x="567"/>
        <item x="568"/>
        <item x="569"/>
        <item x="592"/>
        <item x="87"/>
        <item x="88"/>
        <item x="550"/>
        <item x="543"/>
        <item x="40"/>
        <item x="539"/>
        <item x="570"/>
        <item x="41"/>
        <item x="42"/>
        <item x="540"/>
        <item x="571"/>
        <item x="544"/>
        <item x="43"/>
        <item x="545"/>
        <item x="232"/>
        <item x="551"/>
        <item x="572"/>
        <item x="44"/>
        <item x="573"/>
        <item x="574"/>
        <item x="575"/>
        <item x="576"/>
        <item x="89"/>
        <item x="90"/>
        <item x="552"/>
        <item x="665"/>
        <item x="45"/>
        <item x="675"/>
        <item x="242"/>
        <item x="46"/>
        <item x="47"/>
        <item x="676"/>
        <item x="677"/>
        <item x="233"/>
        <item x="48"/>
        <item x="234"/>
        <item x="235"/>
        <item x="553"/>
        <item x="577"/>
        <item x="49"/>
        <item x="578"/>
        <item x="579"/>
        <item x="580"/>
        <item x="581"/>
        <item x="91"/>
        <item x="92"/>
        <item x="666"/>
        <item x="667"/>
        <item x="50"/>
        <item x="678"/>
        <item x="662"/>
        <item x="51"/>
        <item x="52"/>
        <item x="679"/>
        <item x="680"/>
        <item x="681"/>
        <item x="53"/>
        <item x="658"/>
        <item x="54"/>
        <item x="93"/>
        <item x="94"/>
        <item x="668"/>
        <item x="669"/>
        <item x="55"/>
        <item x="682"/>
        <item x="663"/>
        <item x="56"/>
        <item x="57"/>
        <item x="683"/>
        <item x="684"/>
        <item x="685"/>
        <item x="58"/>
        <item x="659"/>
        <item x="59"/>
        <item x="95"/>
        <item x="96"/>
        <item x="670"/>
        <item x="671"/>
        <item x="60"/>
        <item x="1"/>
        <item x="664"/>
        <item x="61"/>
        <item x="62"/>
        <item x="686"/>
        <item x="687"/>
        <item x="688"/>
        <item x="63"/>
        <item x="660"/>
        <item x="97"/>
        <item x="98"/>
        <item x="672"/>
        <item x="673"/>
        <item x="64"/>
        <item x="689"/>
        <item x="65"/>
        <item x="66"/>
        <item x="690"/>
        <item x="691"/>
        <item x="692"/>
        <item x="67"/>
        <item x="661"/>
        <item x="99"/>
        <item x="100"/>
        <item x="68"/>
        <item x="2"/>
        <item x="69"/>
        <item x="70"/>
        <item x="101"/>
        <item x="102"/>
        <item x="71"/>
        <item m="1" x="694"/>
        <item x="72"/>
        <item x="693"/>
        <item x="483"/>
        <item x="484"/>
        <item x="598"/>
        <item x="504"/>
        <item x="59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ascending">
      <items count="17">
        <item x="13"/>
        <item x="15"/>
        <item x="14"/>
        <item x="0"/>
        <item x="2"/>
        <item x="7"/>
        <item x="11"/>
        <item x="8"/>
        <item x="5"/>
        <item x="10"/>
        <item x="9"/>
        <item x="12"/>
        <item x="4"/>
        <item x="3"/>
        <item x="6"/>
        <item x="1"/>
        <item t="default"/>
      </items>
    </pivotField>
    <pivotField showAll="0"/>
    <pivotField showAll="0"/>
    <pivotField axis="axisRow" multipleItemSelectionAllowed="1" showAll="0" sortType="ascending">
      <items count="12">
        <item x="4"/>
        <item x="3"/>
        <item x="1"/>
        <item x="5"/>
        <item x="8"/>
        <item x="7"/>
        <item x="6"/>
        <item x="2"/>
        <item x="0"/>
        <item x="9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3">
    <field x="3"/>
    <field x="5"/>
    <field x="8"/>
  </rowFields>
  <rowItems count="364">
    <i>
      <x v="12"/>
    </i>
    <i r="1">
      <x v="3"/>
    </i>
    <i r="2">
      <x v="9"/>
    </i>
    <i>
      <x v="31"/>
    </i>
    <i r="1">
      <x v="15"/>
    </i>
    <i r="2">
      <x v="9"/>
    </i>
    <i>
      <x v="33"/>
    </i>
    <i r="1">
      <x v="15"/>
    </i>
    <i r="2">
      <x v="9"/>
    </i>
    <i>
      <x v="34"/>
    </i>
    <i r="1">
      <x v="15"/>
    </i>
    <i r="2">
      <x v="9"/>
    </i>
    <i>
      <x v="6"/>
    </i>
    <i r="1">
      <x v="3"/>
    </i>
    <i r="2">
      <x v="9"/>
    </i>
    <i>
      <x v="35"/>
    </i>
    <i r="1">
      <x v="15"/>
    </i>
    <i r="2">
      <x v="9"/>
    </i>
    <i>
      <x v="9"/>
    </i>
    <i r="1">
      <x v="3"/>
    </i>
    <i r="2">
      <x v="9"/>
    </i>
    <i>
      <x v="36"/>
    </i>
    <i r="1">
      <x v="15"/>
    </i>
    <i r="2">
      <x v="9"/>
    </i>
    <i>
      <x v="4"/>
    </i>
    <i r="1">
      <x v="3"/>
    </i>
    <i r="2">
      <x v="9"/>
    </i>
    <i>
      <x v="37"/>
    </i>
    <i r="1">
      <x v="15"/>
    </i>
    <i r="2">
      <x v="9"/>
    </i>
    <i>
      <x v="19"/>
    </i>
    <i r="1">
      <x v="15"/>
    </i>
    <i r="2">
      <x v="9"/>
    </i>
    <i>
      <x v="38"/>
    </i>
    <i r="1">
      <x v="15"/>
    </i>
    <i r="2">
      <x v="9"/>
    </i>
    <i>
      <x v="23"/>
    </i>
    <i r="1">
      <x v="15"/>
    </i>
    <i r="2">
      <x v="9"/>
    </i>
    <i>
      <x v="39"/>
    </i>
    <i r="1">
      <x v="15"/>
    </i>
    <i r="2">
      <x v="9"/>
    </i>
    <i>
      <x v="25"/>
    </i>
    <i r="1">
      <x v="15"/>
    </i>
    <i r="2">
      <x v="9"/>
    </i>
    <i>
      <x v="40"/>
    </i>
    <i r="1">
      <x v="15"/>
    </i>
    <i r="2">
      <x v="9"/>
    </i>
    <i>
      <x v="27"/>
    </i>
    <i r="1">
      <x v="15"/>
    </i>
    <i r="2">
      <x v="9"/>
    </i>
    <i>
      <x v="42"/>
    </i>
    <i r="1">
      <x v="15"/>
    </i>
    <i r="2">
      <x v="9"/>
    </i>
    <i>
      <x v="30"/>
    </i>
    <i r="1">
      <x v="15"/>
    </i>
    <i r="2">
      <x v="9"/>
    </i>
    <i>
      <x v="43"/>
    </i>
    <i r="1">
      <x v="15"/>
    </i>
    <i r="2">
      <x v="9"/>
    </i>
    <i>
      <x v="5"/>
    </i>
    <i r="1">
      <x v="3"/>
    </i>
    <i r="2">
      <x v="9"/>
    </i>
    <i>
      <x v="44"/>
    </i>
    <i r="1">
      <x v="15"/>
    </i>
    <i r="2">
      <x v="9"/>
    </i>
    <i>
      <x v="10"/>
    </i>
    <i r="1">
      <x v="3"/>
    </i>
    <i r="2">
      <x v="9"/>
    </i>
    <i>
      <x v="45"/>
    </i>
    <i r="1">
      <x v="15"/>
    </i>
    <i r="2">
      <x v="9"/>
    </i>
    <i>
      <x v="22"/>
    </i>
    <i r="1">
      <x v="15"/>
    </i>
    <i r="2">
      <x v="9"/>
    </i>
    <i>
      <x v="46"/>
    </i>
    <i r="1">
      <x v="15"/>
    </i>
    <i r="2">
      <x v="9"/>
    </i>
    <i>
      <x v="26"/>
    </i>
    <i r="1">
      <x v="15"/>
    </i>
    <i r="2">
      <x v="9"/>
    </i>
    <i>
      <x v="47"/>
    </i>
    <i r="1">
      <x v="15"/>
    </i>
    <i r="2">
      <x v="9"/>
    </i>
    <i>
      <x v="3"/>
    </i>
    <i r="1">
      <x v="3"/>
    </i>
    <i r="2">
      <x v="9"/>
    </i>
    <i>
      <x v="48"/>
    </i>
    <i r="1">
      <x v="15"/>
    </i>
    <i r="2">
      <x v="9"/>
    </i>
    <i>
      <x v="18"/>
    </i>
    <i r="1">
      <x v="15"/>
    </i>
    <i r="2">
      <x v="9"/>
    </i>
    <i>
      <x v="49"/>
    </i>
    <i r="1">
      <x v="15"/>
    </i>
    <i r="2">
      <x v="9"/>
    </i>
    <i>
      <x v="28"/>
    </i>
    <i r="1">
      <x v="15"/>
    </i>
    <i r="2">
      <x v="9"/>
    </i>
    <i>
      <x v="50"/>
    </i>
    <i r="1">
      <x v="15"/>
    </i>
    <i r="2">
      <x v="9"/>
    </i>
    <i>
      <x v="24"/>
    </i>
    <i r="1">
      <x v="15"/>
    </i>
    <i r="2">
      <x v="9"/>
    </i>
    <i>
      <x v="51"/>
    </i>
    <i r="1">
      <x v="15"/>
    </i>
    <i r="2">
      <x v="9"/>
    </i>
    <i>
      <x v="8"/>
    </i>
    <i r="1">
      <x v="3"/>
    </i>
    <i r="2">
      <x v="9"/>
    </i>
    <i>
      <x v="53"/>
    </i>
    <i r="1">
      <x v="15"/>
    </i>
    <i r="2">
      <x v="9"/>
    </i>
    <i>
      <x v="85"/>
    </i>
    <i r="1">
      <x v="15"/>
    </i>
    <i r="2">
      <x/>
    </i>
    <i>
      <x v="106"/>
    </i>
    <i r="1">
      <x v="15"/>
    </i>
    <i r="2">
      <x/>
    </i>
    <i>
      <x v="107"/>
    </i>
    <i r="1">
      <x v="15"/>
    </i>
    <i r="2">
      <x/>
    </i>
    <i>
      <x v="62"/>
    </i>
    <i r="1">
      <x v="15"/>
    </i>
    <i r="2">
      <x/>
    </i>
    <i>
      <x v="108"/>
    </i>
    <i r="1">
      <x v="15"/>
    </i>
    <i r="2">
      <x/>
    </i>
    <i>
      <x v="64"/>
    </i>
    <i r="1">
      <x v="15"/>
    </i>
    <i r="2">
      <x/>
    </i>
    <i>
      <x v="109"/>
    </i>
    <i r="1">
      <x v="15"/>
    </i>
    <i r="2">
      <x/>
    </i>
    <i>
      <x v="66"/>
    </i>
    <i r="1">
      <x v="15"/>
    </i>
    <i r="2">
      <x/>
    </i>
    <i>
      <x v="110"/>
    </i>
    <i r="1">
      <x v="15"/>
    </i>
    <i r="2">
      <x/>
    </i>
    <i>
      <x v="68"/>
    </i>
    <i r="1">
      <x v="15"/>
    </i>
    <i r="2">
      <x/>
    </i>
    <i>
      <x v="111"/>
    </i>
    <i r="1">
      <x v="15"/>
    </i>
    <i r="2">
      <x/>
    </i>
    <i>
      <x v="72"/>
    </i>
    <i r="1">
      <x v="15"/>
    </i>
    <i r="2">
      <x/>
    </i>
    <i>
      <x v="112"/>
    </i>
    <i r="1">
      <x v="15"/>
    </i>
    <i r="2">
      <x/>
    </i>
    <i>
      <x v="75"/>
    </i>
    <i r="1">
      <x v="15"/>
    </i>
    <i r="2">
      <x/>
    </i>
    <i>
      <x v="113"/>
    </i>
    <i r="1">
      <x v="15"/>
    </i>
    <i r="2">
      <x/>
    </i>
    <i>
      <x v="77"/>
    </i>
    <i r="1">
      <x v="15"/>
    </i>
    <i r="2">
      <x/>
    </i>
    <i>
      <x v="114"/>
    </i>
    <i r="1">
      <x v="15"/>
    </i>
    <i r="2">
      <x/>
    </i>
    <i>
      <x v="79"/>
    </i>
    <i r="1">
      <x v="15"/>
    </i>
    <i r="2">
      <x/>
    </i>
    <i>
      <x v="115"/>
    </i>
    <i r="1">
      <x v="15"/>
    </i>
    <i r="2">
      <x/>
    </i>
    <i>
      <x v="81"/>
    </i>
    <i r="1">
      <x v="15"/>
    </i>
    <i r="2">
      <x/>
    </i>
    <i>
      <x v="116"/>
    </i>
    <i r="1">
      <x v="15"/>
    </i>
    <i r="2">
      <x/>
    </i>
    <i>
      <x v="83"/>
    </i>
    <i r="1">
      <x v="15"/>
    </i>
    <i r="2">
      <x/>
    </i>
    <i>
      <x v="117"/>
    </i>
    <i r="1">
      <x v="15"/>
    </i>
    <i r="2">
      <x/>
    </i>
    <i>
      <x v="59"/>
    </i>
    <i r="1">
      <x v="15"/>
    </i>
    <i r="2">
      <x/>
    </i>
    <i>
      <x v="118"/>
    </i>
    <i r="1">
      <x v="15"/>
    </i>
    <i r="2">
      <x/>
    </i>
    <i>
      <x v="89"/>
    </i>
    <i r="1">
      <x v="15"/>
    </i>
    <i r="2">
      <x/>
    </i>
    <i>
      <x v="119"/>
    </i>
    <i r="1">
      <x v="15"/>
    </i>
    <i r="2">
      <x/>
    </i>
    <i>
      <x v="91"/>
    </i>
    <i r="1">
      <x v="15"/>
    </i>
    <i r="2">
      <x/>
    </i>
    <i>
      <x v="120"/>
    </i>
    <i r="1">
      <x v="15"/>
    </i>
    <i r="2">
      <x/>
    </i>
    <i>
      <x v="93"/>
    </i>
    <i r="1">
      <x v="15"/>
    </i>
    <i r="2">
      <x/>
    </i>
    <i>
      <x v="121"/>
    </i>
    <i r="1">
      <x v="15"/>
    </i>
    <i r="2">
      <x/>
    </i>
    <i>
      <x v="95"/>
    </i>
    <i r="1">
      <x v="15"/>
    </i>
    <i r="2">
      <x/>
    </i>
    <i>
      <x v="122"/>
    </i>
    <i r="1">
      <x v="15"/>
    </i>
    <i r="2">
      <x/>
    </i>
    <i>
      <x v="97"/>
    </i>
    <i r="1">
      <x v="15"/>
    </i>
    <i r="2">
      <x/>
    </i>
    <i>
      <x v="123"/>
    </i>
    <i r="1">
      <x v="15"/>
    </i>
    <i r="2">
      <x/>
    </i>
    <i>
      <x v="99"/>
    </i>
    <i r="1">
      <x v="15"/>
    </i>
    <i r="2">
      <x/>
    </i>
    <i>
      <x v="124"/>
    </i>
    <i r="1">
      <x v="15"/>
    </i>
    <i r="2">
      <x/>
    </i>
    <i>
      <x v="101"/>
    </i>
    <i r="1">
      <x v="15"/>
    </i>
    <i r="2">
      <x/>
    </i>
    <i>
      <x v="125"/>
    </i>
    <i r="1">
      <x v="15"/>
    </i>
    <i r="2">
      <x/>
    </i>
    <i>
      <x v="103"/>
    </i>
    <i r="1">
      <x v="15"/>
    </i>
    <i r="2">
      <x/>
    </i>
    <i>
      <x v="127"/>
    </i>
    <i r="1">
      <x v="15"/>
    </i>
    <i r="2">
      <x/>
    </i>
    <i>
      <x v="105"/>
    </i>
    <i r="1">
      <x v="15"/>
    </i>
    <i r="2">
      <x/>
    </i>
    <i>
      <x v="128"/>
    </i>
    <i r="1">
      <x v="15"/>
    </i>
    <i r="2">
      <x/>
    </i>
    <i>
      <x v="63"/>
    </i>
    <i r="1">
      <x v="15"/>
    </i>
    <i r="2">
      <x/>
    </i>
    <i>
      <x v="129"/>
    </i>
    <i r="1">
      <x v="15"/>
    </i>
    <i r="2">
      <x/>
    </i>
    <i>
      <x v="67"/>
    </i>
    <i r="1">
      <x v="15"/>
    </i>
    <i r="2">
      <x/>
    </i>
    <i>
      <x v="130"/>
    </i>
    <i r="1">
      <x v="15"/>
    </i>
    <i r="2">
      <x/>
    </i>
    <i>
      <x v="73"/>
    </i>
    <i r="1">
      <x v="15"/>
    </i>
    <i r="2">
      <x/>
    </i>
    <i>
      <x v="131"/>
    </i>
    <i r="1">
      <x v="15"/>
    </i>
    <i r="2">
      <x/>
    </i>
    <i>
      <x v="78"/>
    </i>
    <i r="1">
      <x v="15"/>
    </i>
    <i r="2">
      <x/>
    </i>
    <i>
      <x v="132"/>
    </i>
    <i r="1">
      <x v="15"/>
    </i>
    <i r="2">
      <x/>
    </i>
    <i>
      <x v="82"/>
    </i>
    <i r="1">
      <x v="15"/>
    </i>
    <i r="2">
      <x/>
    </i>
    <i>
      <x v="133"/>
    </i>
    <i r="1">
      <x v="15"/>
    </i>
    <i r="2">
      <x/>
    </i>
    <i>
      <x v="86"/>
    </i>
    <i r="1">
      <x v="15"/>
    </i>
    <i r="2">
      <x/>
    </i>
    <i>
      <x v="134"/>
    </i>
    <i r="1">
      <x v="15"/>
    </i>
    <i r="2">
      <x/>
    </i>
    <i>
      <x v="92"/>
    </i>
    <i r="1">
      <x v="15"/>
    </i>
    <i r="2">
      <x/>
    </i>
    <i>
      <x v="135"/>
    </i>
    <i r="1">
      <x v="15"/>
    </i>
    <i r="2">
      <x/>
    </i>
    <i>
      <x v="96"/>
    </i>
    <i r="1">
      <x v="15"/>
    </i>
    <i r="2">
      <x/>
    </i>
    <i>
      <x v="136"/>
    </i>
    <i r="1">
      <x v="15"/>
    </i>
    <i r="2">
      <x/>
    </i>
    <i>
      <x v="100"/>
    </i>
    <i r="1">
      <x v="15"/>
    </i>
    <i r="2">
      <x/>
    </i>
    <i>
      <x v="137"/>
    </i>
    <i r="1">
      <x v="15"/>
    </i>
    <i r="2">
      <x/>
    </i>
    <i>
      <x v="104"/>
    </i>
    <i r="1">
      <x v="15"/>
    </i>
    <i r="2">
      <x/>
    </i>
    <i>
      <x v="138"/>
    </i>
    <i r="1">
      <x v="15"/>
    </i>
    <i r="2">
      <x/>
    </i>
    <i>
      <x v="65"/>
    </i>
    <i r="1">
      <x v="15"/>
    </i>
    <i r="2">
      <x/>
    </i>
    <i>
      <x v="139"/>
    </i>
    <i r="1">
      <x v="15"/>
    </i>
    <i r="2">
      <x v="9"/>
    </i>
    <i>
      <x v="76"/>
    </i>
    <i r="1">
      <x v="15"/>
    </i>
    <i r="2">
      <x/>
    </i>
    <i>
      <x v="140"/>
    </i>
    <i r="1">
      <x v="15"/>
    </i>
    <i r="2">
      <x v="9"/>
    </i>
    <i>
      <x v="84"/>
    </i>
    <i r="1">
      <x v="15"/>
    </i>
    <i r="2">
      <x/>
    </i>
    <i>
      <x v="141"/>
    </i>
    <i r="1">
      <x v="15"/>
    </i>
    <i r="2">
      <x v="9"/>
    </i>
    <i>
      <x v="94"/>
    </i>
    <i r="1">
      <x v="15"/>
    </i>
    <i r="2">
      <x/>
    </i>
    <i>
      <x v="142"/>
    </i>
    <i r="1">
      <x v="15"/>
    </i>
    <i r="2">
      <x v="9"/>
    </i>
    <i>
      <x v="102"/>
    </i>
    <i r="1">
      <x v="15"/>
    </i>
    <i r="2">
      <x/>
    </i>
    <i>
      <x v="143"/>
    </i>
    <i r="1">
      <x v="15"/>
    </i>
    <i r="2">
      <x v="9"/>
    </i>
    <i>
      <x v="69"/>
    </i>
    <i r="1">
      <x v="15"/>
    </i>
    <i r="2">
      <x/>
    </i>
    <i>
      <x v="144"/>
    </i>
    <i r="1">
      <x v="15"/>
    </i>
    <i r="2">
      <x v="9"/>
    </i>
    <i>
      <x v="90"/>
    </i>
    <i r="1">
      <x v="15"/>
    </i>
    <i r="2">
      <x/>
    </i>
    <i>
      <x v="145"/>
    </i>
    <i r="1">
      <x v="15"/>
    </i>
    <i r="2">
      <x v="9"/>
    </i>
    <i>
      <x v="61"/>
    </i>
    <i r="1">
      <x v="15"/>
    </i>
    <i r="2">
      <x/>
    </i>
    <i>
      <x v="146"/>
    </i>
    <i r="1">
      <x v="15"/>
    </i>
    <i r="2">
      <x v="9"/>
    </i>
    <i>
      <x v="98"/>
    </i>
    <i r="1">
      <x v="15"/>
    </i>
    <i r="2">
      <x/>
    </i>
    <i>
      <x v="147"/>
    </i>
    <i r="1">
      <x v="15"/>
    </i>
    <i r="2">
      <x v="9"/>
    </i>
    <i>
      <x v="80"/>
    </i>
    <i r="1">
      <x v="15"/>
    </i>
    <i r="2">
      <x/>
    </i>
    <i>
      <x v="148"/>
    </i>
    <i r="1">
      <x v="15"/>
    </i>
    <i r="2">
      <x v="9"/>
    </i>
    <i t="grand">
      <x/>
    </i>
  </rowItems>
  <colItems count="1">
    <i/>
  </colItems>
  <pageFields count="2">
    <pageField fld="0" hier="-1"/>
    <pageField fld="2" hier="-1"/>
  </pageFields>
  <dataFields count="1">
    <dataField name="Precio de Lista" fld="13" subtotal="min" baseField="0" baseItem="0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bpay.cl/company/33138" TargetMode="External"/><Relationship Id="rId2" Type="http://schemas.openxmlformats.org/officeDocument/2006/relationships/hyperlink" Target="https://pay.upago.cl/go/inmobiliaria-maestra" TargetMode="External"/><Relationship Id="rId1" Type="http://schemas.openxmlformats.org/officeDocument/2006/relationships/hyperlink" Target="https://www.webpay.cl/company/32764" TargetMode="External"/><Relationship Id="rId6" Type="http://schemas.openxmlformats.org/officeDocument/2006/relationships/hyperlink" Target="https://maestra.cl/proyectos/" TargetMode="External"/><Relationship Id="rId5" Type="http://schemas.openxmlformats.org/officeDocument/2006/relationships/hyperlink" Target="https://maestra.cl/conoce-tus-fechas-de-entrega/" TargetMode="External"/><Relationship Id="rId4" Type="http://schemas.openxmlformats.org/officeDocument/2006/relationships/hyperlink" Target="mailto:CANAL.BROKER@maestra.c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hare.google/k5hkp5TFxUrZLjsSy" TargetMode="Externa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9841-27BE-4BA8-9282-B29F22AB42C7}">
  <sheetPr filterMode="1"/>
  <dimension ref="A1:AC43"/>
  <sheetViews>
    <sheetView workbookViewId="0">
      <selection activeCell="B13" sqref="B13"/>
    </sheetView>
  </sheetViews>
  <sheetFormatPr defaultColWidth="11.44140625" defaultRowHeight="14.4" x14ac:dyDescent="0.3"/>
  <cols>
    <col min="1" max="1" width="5" style="1" bestFit="1" customWidth="1"/>
    <col min="2" max="2" width="26" style="1" customWidth="1"/>
    <col min="3" max="13" width="13.6640625" style="1" customWidth="1"/>
    <col min="14" max="14" width="11.44140625" style="1"/>
    <col min="15" max="17" width="3.6640625" style="1" customWidth="1"/>
    <col min="18" max="18" width="42.33203125" style="1" bestFit="1" customWidth="1"/>
    <col min="19" max="22" width="3.6640625" style="1" customWidth="1"/>
    <col min="23" max="23" width="46.109375" style="1" bestFit="1" customWidth="1"/>
    <col min="24" max="24" width="3.5546875" style="1" customWidth="1"/>
    <col min="25" max="25" width="3.6640625" style="1" customWidth="1"/>
    <col min="26" max="26" width="11.44140625" style="1"/>
    <col min="27" max="27" width="20.33203125" style="1" bestFit="1" customWidth="1"/>
    <col min="28" max="28" width="33.6640625" style="1" bestFit="1" customWidth="1"/>
    <col min="29" max="29" width="10.6640625" style="1" bestFit="1" customWidth="1"/>
    <col min="30" max="16384" width="11.44140625" style="1"/>
  </cols>
  <sheetData>
    <row r="1" spans="1:29" x14ac:dyDescent="0.3">
      <c r="Q1" s="157" t="s">
        <v>0</v>
      </c>
      <c r="R1" s="157"/>
      <c r="S1" s="157"/>
      <c r="T1" s="157"/>
      <c r="U1" s="157"/>
      <c r="V1" s="157"/>
      <c r="W1" s="157"/>
    </row>
    <row r="2" spans="1:29" x14ac:dyDescent="0.3">
      <c r="A2" s="2"/>
      <c r="B2" s="3" t="s">
        <v>1</v>
      </c>
      <c r="Q2" s="157"/>
      <c r="R2" s="157"/>
      <c r="S2" s="157"/>
      <c r="T2" s="157"/>
      <c r="U2" s="157"/>
      <c r="V2" s="157"/>
      <c r="W2" s="157"/>
    </row>
    <row r="3" spans="1:29" ht="26.4" x14ac:dyDescent="0.3">
      <c r="B3" s="4" t="s">
        <v>2</v>
      </c>
      <c r="C3" s="5" t="s">
        <v>3</v>
      </c>
      <c r="D3" s="6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9" t="s">
        <v>13</v>
      </c>
      <c r="P3" s="10"/>
      <c r="Q3" s="11"/>
      <c r="R3" s="12"/>
      <c r="S3" s="13"/>
      <c r="T3" s="14"/>
      <c r="U3" s="10"/>
      <c r="V3" s="12"/>
      <c r="W3" s="12"/>
      <c r="X3" s="13"/>
      <c r="AA3" s="15" t="s">
        <v>2</v>
      </c>
      <c r="AB3" s="15" t="s">
        <v>14</v>
      </c>
      <c r="AC3" s="15" t="s">
        <v>15</v>
      </c>
    </row>
    <row r="4" spans="1:29" ht="15.6" x14ac:dyDescent="0.3">
      <c r="A4" s="16" t="s">
        <v>16</v>
      </c>
      <c r="B4" s="17" t="s">
        <v>17</v>
      </c>
      <c r="C4" s="18">
        <v>2028</v>
      </c>
      <c r="D4" s="19" t="s">
        <v>18</v>
      </c>
      <c r="E4" s="20">
        <v>0.1</v>
      </c>
      <c r="F4" s="21"/>
      <c r="G4" s="22"/>
      <c r="H4" s="20">
        <v>0.02</v>
      </c>
      <c r="I4" s="23">
        <f t="shared" ref="I4:I8" si="0">20%-L4-H4</f>
        <v>0.08</v>
      </c>
      <c r="J4" s="24">
        <v>21</v>
      </c>
      <c r="K4" s="23" t="s">
        <v>19</v>
      </c>
      <c r="L4" s="23">
        <v>0.1</v>
      </c>
      <c r="M4" s="24" t="s">
        <v>20</v>
      </c>
      <c r="P4" s="25"/>
      <c r="Q4" s="152" t="s">
        <v>21</v>
      </c>
      <c r="R4" s="152"/>
      <c r="S4" s="26"/>
      <c r="T4" s="27"/>
      <c r="U4" s="28"/>
      <c r="V4" s="152" t="s">
        <v>22</v>
      </c>
      <c r="W4" s="152"/>
      <c r="X4" s="158"/>
      <c r="AA4" s="29" t="s">
        <v>23</v>
      </c>
      <c r="AB4" s="29" t="s">
        <v>24</v>
      </c>
      <c r="AC4" s="29" t="s">
        <v>25</v>
      </c>
    </row>
    <row r="5" spans="1:29" x14ac:dyDescent="0.3">
      <c r="A5" s="16" t="s">
        <v>16</v>
      </c>
      <c r="B5" s="17" t="s">
        <v>26</v>
      </c>
      <c r="C5" s="18">
        <v>2029</v>
      </c>
      <c r="D5" s="19" t="s">
        <v>18</v>
      </c>
      <c r="E5" s="20">
        <v>0.1</v>
      </c>
      <c r="F5" s="21"/>
      <c r="G5" s="22"/>
      <c r="H5" s="20">
        <v>0.02</v>
      </c>
      <c r="I5" s="23">
        <f t="shared" si="0"/>
        <v>0.08</v>
      </c>
      <c r="J5" s="24">
        <v>34</v>
      </c>
      <c r="K5" s="23" t="s">
        <v>19</v>
      </c>
      <c r="L5" s="23">
        <v>0.1</v>
      </c>
      <c r="M5" s="24" t="s">
        <v>20</v>
      </c>
      <c r="P5" s="25"/>
      <c r="Q5" s="30"/>
      <c r="S5" s="31"/>
      <c r="T5" s="14"/>
      <c r="U5" s="25"/>
      <c r="X5" s="32"/>
      <c r="AA5" s="29" t="s">
        <v>27</v>
      </c>
      <c r="AB5" s="29" t="s">
        <v>28</v>
      </c>
      <c r="AC5" s="29" t="s">
        <v>29</v>
      </c>
    </row>
    <row r="6" spans="1:29" x14ac:dyDescent="0.3">
      <c r="A6" s="16"/>
      <c r="B6" s="17" t="s">
        <v>30</v>
      </c>
      <c r="C6" s="18">
        <v>2029</v>
      </c>
      <c r="D6" s="19" t="s">
        <v>31</v>
      </c>
      <c r="E6" s="20">
        <v>0.1</v>
      </c>
      <c r="F6" s="33"/>
      <c r="G6" s="22"/>
      <c r="H6" s="23">
        <v>0.02</v>
      </c>
      <c r="I6" s="23">
        <f t="shared" si="0"/>
        <v>0.08</v>
      </c>
      <c r="J6" s="34">
        <v>21</v>
      </c>
      <c r="K6" s="23" t="s">
        <v>19</v>
      </c>
      <c r="L6" s="23">
        <v>0.1</v>
      </c>
      <c r="M6" s="34" t="s">
        <v>20</v>
      </c>
      <c r="P6" s="25"/>
      <c r="Q6" s="30">
        <v>1</v>
      </c>
      <c r="R6" s="1" t="s">
        <v>32</v>
      </c>
      <c r="S6" s="31"/>
      <c r="T6" s="14"/>
      <c r="U6" s="25"/>
      <c r="V6" s="30">
        <v>1</v>
      </c>
      <c r="W6" s="1" t="s">
        <v>32</v>
      </c>
      <c r="X6" s="32"/>
      <c r="AA6" s="29" t="s">
        <v>33</v>
      </c>
      <c r="AB6" s="29" t="s">
        <v>34</v>
      </c>
      <c r="AC6" s="29" t="s">
        <v>35</v>
      </c>
    </row>
    <row r="7" spans="1:29" x14ac:dyDescent="0.3">
      <c r="A7" s="16" t="s">
        <v>16</v>
      </c>
      <c r="B7" s="17" t="s">
        <v>36</v>
      </c>
      <c r="C7" s="18">
        <v>2029</v>
      </c>
      <c r="D7" s="19" t="s">
        <v>37</v>
      </c>
      <c r="E7" s="35">
        <v>0.15</v>
      </c>
      <c r="F7" s="33"/>
      <c r="G7" s="22">
        <v>500000</v>
      </c>
      <c r="H7" s="35">
        <v>0.01</v>
      </c>
      <c r="I7" s="23">
        <f t="shared" si="0"/>
        <v>9.0000000000000011E-2</v>
      </c>
      <c r="J7" s="24">
        <v>35</v>
      </c>
      <c r="K7" s="23" t="s">
        <v>19</v>
      </c>
      <c r="L7" s="23">
        <v>0.1</v>
      </c>
      <c r="M7" s="24" t="s">
        <v>20</v>
      </c>
      <c r="P7" s="25"/>
      <c r="Q7" s="30">
        <v>2</v>
      </c>
      <c r="R7" s="36" t="s">
        <v>38</v>
      </c>
      <c r="S7" s="31"/>
      <c r="T7" s="14"/>
      <c r="U7" s="25"/>
      <c r="V7" s="30">
        <v>2</v>
      </c>
      <c r="W7" s="1" t="s">
        <v>39</v>
      </c>
      <c r="X7" s="32"/>
      <c r="AA7" s="29" t="s">
        <v>40</v>
      </c>
      <c r="AB7" s="29" t="s">
        <v>41</v>
      </c>
      <c r="AC7" s="29" t="s">
        <v>42</v>
      </c>
    </row>
    <row r="8" spans="1:29" x14ac:dyDescent="0.3">
      <c r="A8" s="16" t="s">
        <v>16</v>
      </c>
      <c r="B8" s="17" t="s">
        <v>43</v>
      </c>
      <c r="C8" s="18">
        <v>2029</v>
      </c>
      <c r="D8" s="19" t="s">
        <v>44</v>
      </c>
      <c r="E8" s="20">
        <v>0.1</v>
      </c>
      <c r="F8" s="21" t="s">
        <v>45</v>
      </c>
      <c r="G8" s="37"/>
      <c r="H8" s="20">
        <v>0.02</v>
      </c>
      <c r="I8" s="20">
        <f t="shared" si="0"/>
        <v>0.08</v>
      </c>
      <c r="J8" s="24">
        <v>34</v>
      </c>
      <c r="K8" s="20" t="s">
        <v>19</v>
      </c>
      <c r="L8" s="20">
        <v>0.1</v>
      </c>
      <c r="M8" s="24" t="s">
        <v>20</v>
      </c>
      <c r="P8" s="25"/>
      <c r="Q8" s="30">
        <v>3</v>
      </c>
      <c r="R8" s="1" t="s">
        <v>46</v>
      </c>
      <c r="S8" s="31"/>
      <c r="T8" s="14"/>
      <c r="U8" s="25"/>
      <c r="V8" s="30">
        <v>3</v>
      </c>
      <c r="W8" s="36" t="s">
        <v>38</v>
      </c>
      <c r="X8" s="32"/>
      <c r="AA8" s="29" t="s">
        <v>36</v>
      </c>
      <c r="AB8" s="29" t="s">
        <v>47</v>
      </c>
      <c r="AC8" s="29" t="s">
        <v>48</v>
      </c>
    </row>
    <row r="9" spans="1:29" ht="15" thickBot="1" x14ac:dyDescent="0.35">
      <c r="A9" s="16"/>
      <c r="B9" s="17" t="s">
        <v>49</v>
      </c>
      <c r="C9" s="18">
        <v>2029</v>
      </c>
      <c r="D9" s="19" t="s">
        <v>50</v>
      </c>
      <c r="E9" s="35">
        <v>0.15</v>
      </c>
      <c r="F9" s="21"/>
      <c r="G9" s="37">
        <v>500000</v>
      </c>
      <c r="H9" s="35">
        <v>0.01</v>
      </c>
      <c r="I9" s="20">
        <f>20%-L9-H9</f>
        <v>9.0000000000000011E-2</v>
      </c>
      <c r="J9" s="24">
        <v>36</v>
      </c>
      <c r="K9" s="20" t="s">
        <v>19</v>
      </c>
      <c r="L9" s="20">
        <v>0.1</v>
      </c>
      <c r="M9" s="24" t="s">
        <v>20</v>
      </c>
      <c r="P9" s="25"/>
      <c r="Q9" s="30">
        <v>4</v>
      </c>
      <c r="R9" s="1" t="s">
        <v>51</v>
      </c>
      <c r="S9" s="31"/>
      <c r="T9" s="14"/>
      <c r="U9" s="25"/>
      <c r="V9" s="30">
        <v>4</v>
      </c>
      <c r="W9" s="1" t="s">
        <v>52</v>
      </c>
      <c r="X9" s="32"/>
      <c r="AA9" s="29" t="s">
        <v>53</v>
      </c>
      <c r="AB9" s="29" t="s">
        <v>54</v>
      </c>
      <c r="AC9" s="29" t="s">
        <v>55</v>
      </c>
    </row>
    <row r="10" spans="1:29" ht="15" thickTop="1" x14ac:dyDescent="0.3">
      <c r="A10" s="38"/>
      <c r="B10" s="39" t="s">
        <v>27</v>
      </c>
      <c r="C10" s="40" t="s">
        <v>56</v>
      </c>
      <c r="D10" s="40" t="s">
        <v>57</v>
      </c>
      <c r="E10" s="41">
        <v>0.1</v>
      </c>
      <c r="F10" s="42" t="s">
        <v>58</v>
      </c>
      <c r="G10" s="43" t="s">
        <v>59</v>
      </c>
      <c r="H10" s="41"/>
      <c r="I10" s="41">
        <v>0.1</v>
      </c>
      <c r="J10" s="44">
        <v>60</v>
      </c>
      <c r="K10" s="41"/>
      <c r="L10" s="41">
        <v>0.1</v>
      </c>
      <c r="M10" s="42" t="s">
        <v>60</v>
      </c>
      <c r="P10" s="25"/>
      <c r="Q10" s="30">
        <v>5</v>
      </c>
      <c r="R10" s="1" t="s">
        <v>61</v>
      </c>
      <c r="S10" s="45"/>
      <c r="T10" s="14"/>
      <c r="U10" s="25"/>
      <c r="V10" s="30">
        <v>5</v>
      </c>
      <c r="W10" s="1" t="s">
        <v>51</v>
      </c>
      <c r="X10" s="32"/>
      <c r="AA10" s="29" t="s">
        <v>62</v>
      </c>
      <c r="AB10" s="29" t="s">
        <v>41</v>
      </c>
      <c r="AC10" s="29" t="s">
        <v>42</v>
      </c>
    </row>
    <row r="11" spans="1:29" ht="15" thickBot="1" x14ac:dyDescent="0.35">
      <c r="A11" s="16"/>
      <c r="B11" s="46" t="s">
        <v>63</v>
      </c>
      <c r="C11" s="46" t="s">
        <v>64</v>
      </c>
      <c r="D11" s="47" t="s">
        <v>65</v>
      </c>
      <c r="E11" s="48">
        <v>0.13</v>
      </c>
      <c r="F11" s="49"/>
      <c r="G11" s="49" t="s">
        <v>59</v>
      </c>
      <c r="H11" s="50"/>
      <c r="I11" s="50">
        <v>0.1</v>
      </c>
      <c r="J11" s="51">
        <v>60</v>
      </c>
      <c r="K11" s="50"/>
      <c r="L11" s="52">
        <v>0.15</v>
      </c>
      <c r="M11" s="53" t="s">
        <v>60</v>
      </c>
      <c r="P11" s="25"/>
      <c r="Q11" s="30">
        <v>6</v>
      </c>
      <c r="R11" s="1" t="s">
        <v>66</v>
      </c>
      <c r="S11" s="45"/>
      <c r="T11" s="14"/>
      <c r="U11" s="25"/>
      <c r="V11" s="30">
        <v>6</v>
      </c>
      <c r="W11" s="1" t="s">
        <v>67</v>
      </c>
      <c r="X11" s="32"/>
      <c r="AA11" s="29" t="s">
        <v>63</v>
      </c>
      <c r="AB11" s="29" t="s">
        <v>68</v>
      </c>
      <c r="AC11" s="29" t="s">
        <v>69</v>
      </c>
    </row>
    <row r="12" spans="1:29" ht="15" thickTop="1" x14ac:dyDescent="0.3">
      <c r="A12" s="16" t="s">
        <v>16</v>
      </c>
      <c r="B12" s="17" t="s">
        <v>40</v>
      </c>
      <c r="C12" s="18" t="s">
        <v>56</v>
      </c>
      <c r="D12" s="19" t="s">
        <v>70</v>
      </c>
      <c r="E12" s="54">
        <v>0.1</v>
      </c>
      <c r="F12" s="55"/>
      <c r="G12" s="56" t="s">
        <v>59</v>
      </c>
      <c r="H12" s="57"/>
      <c r="I12" s="58">
        <v>0.1</v>
      </c>
      <c r="J12" s="57">
        <v>60</v>
      </c>
      <c r="K12" s="57"/>
      <c r="L12" s="58">
        <v>0.1</v>
      </c>
      <c r="M12" s="57" t="s">
        <v>71</v>
      </c>
      <c r="P12" s="25"/>
      <c r="Q12" s="30">
        <v>7</v>
      </c>
      <c r="R12" s="1" t="s">
        <v>72</v>
      </c>
      <c r="S12" s="45"/>
      <c r="T12" s="14"/>
      <c r="U12" s="25"/>
      <c r="V12" s="30">
        <v>7</v>
      </c>
      <c r="W12" s="36" t="s">
        <v>73</v>
      </c>
      <c r="X12" s="32"/>
      <c r="AA12" s="29" t="s">
        <v>74</v>
      </c>
      <c r="AB12" s="29" t="s">
        <v>41</v>
      </c>
      <c r="AC12" s="29" t="s">
        <v>42</v>
      </c>
    </row>
    <row r="13" spans="1:29" x14ac:dyDescent="0.3">
      <c r="A13" s="16"/>
      <c r="B13" s="17" t="s">
        <v>53</v>
      </c>
      <c r="C13" s="18" t="s">
        <v>56</v>
      </c>
      <c r="D13" s="18" t="s">
        <v>75</v>
      </c>
      <c r="E13" s="59">
        <v>0.13</v>
      </c>
      <c r="F13" s="56"/>
      <c r="G13" s="56" t="s">
        <v>59</v>
      </c>
      <c r="H13" s="57"/>
      <c r="I13" s="58">
        <v>0.1</v>
      </c>
      <c r="J13" s="57">
        <v>60</v>
      </c>
      <c r="K13" s="57"/>
      <c r="L13" s="58">
        <v>0.1</v>
      </c>
      <c r="M13" s="57" t="s">
        <v>71</v>
      </c>
      <c r="P13" s="25"/>
      <c r="Q13" s="30">
        <v>8</v>
      </c>
      <c r="R13" s="36" t="s">
        <v>76</v>
      </c>
      <c r="S13" s="31"/>
      <c r="T13" s="14"/>
      <c r="U13" s="25"/>
      <c r="V13" s="30">
        <v>8</v>
      </c>
      <c r="W13" s="36" t="s">
        <v>76</v>
      </c>
      <c r="X13" s="32"/>
      <c r="AA13" s="29" t="s">
        <v>77</v>
      </c>
      <c r="AB13" s="29" t="s">
        <v>24</v>
      </c>
      <c r="AC13" s="29" t="s">
        <v>25</v>
      </c>
    </row>
    <row r="14" spans="1:29" x14ac:dyDescent="0.3">
      <c r="A14" s="16" t="s">
        <v>16</v>
      </c>
      <c r="B14" s="17" t="s">
        <v>62</v>
      </c>
      <c r="C14" s="18" t="s">
        <v>56</v>
      </c>
      <c r="D14" s="18" t="s">
        <v>78</v>
      </c>
      <c r="E14" s="54">
        <v>0.1</v>
      </c>
      <c r="F14" s="55" t="s">
        <v>79</v>
      </c>
      <c r="G14" s="56" t="s">
        <v>59</v>
      </c>
      <c r="H14" s="57"/>
      <c r="I14" s="58">
        <v>0.1</v>
      </c>
      <c r="J14" s="57">
        <v>60</v>
      </c>
      <c r="K14" s="57"/>
      <c r="L14" s="58">
        <v>0.1</v>
      </c>
      <c r="M14" s="57" t="s">
        <v>71</v>
      </c>
      <c r="P14" s="25"/>
      <c r="Q14" s="30">
        <v>9</v>
      </c>
      <c r="R14" s="36" t="s">
        <v>80</v>
      </c>
      <c r="S14" s="31"/>
      <c r="T14" s="14"/>
      <c r="U14" s="25"/>
      <c r="V14" s="30">
        <v>9</v>
      </c>
      <c r="W14" s="36" t="s">
        <v>80</v>
      </c>
      <c r="X14" s="32"/>
      <c r="AA14" s="29" t="s">
        <v>81</v>
      </c>
      <c r="AB14" s="29" t="s">
        <v>24</v>
      </c>
      <c r="AC14" s="29" t="s">
        <v>25</v>
      </c>
    </row>
    <row r="15" spans="1:29" x14ac:dyDescent="0.3">
      <c r="A15" s="16" t="s">
        <v>16</v>
      </c>
      <c r="B15" s="17" t="s">
        <v>74</v>
      </c>
      <c r="C15" s="18" t="s">
        <v>56</v>
      </c>
      <c r="D15" s="18" t="s">
        <v>65</v>
      </c>
      <c r="E15" s="59">
        <v>0.13</v>
      </c>
      <c r="F15" s="56"/>
      <c r="G15" s="55" t="s">
        <v>59</v>
      </c>
      <c r="H15" s="57"/>
      <c r="I15" s="58">
        <v>0.1</v>
      </c>
      <c r="J15" s="57">
        <v>60</v>
      </c>
      <c r="K15" s="57"/>
      <c r="L15" s="58">
        <v>0.1</v>
      </c>
      <c r="M15" s="57" t="s">
        <v>71</v>
      </c>
      <c r="P15" s="25"/>
      <c r="Q15" s="30">
        <v>10</v>
      </c>
      <c r="R15" s="36" t="s">
        <v>82</v>
      </c>
      <c r="S15" s="31"/>
      <c r="T15" s="14"/>
      <c r="U15" s="25"/>
      <c r="V15" s="30">
        <v>10</v>
      </c>
      <c r="W15" s="36" t="s">
        <v>82</v>
      </c>
      <c r="X15" s="32"/>
      <c r="AA15" s="29" t="s">
        <v>83</v>
      </c>
      <c r="AB15" s="29" t="s">
        <v>41</v>
      </c>
      <c r="AC15" s="29" t="s">
        <v>42</v>
      </c>
    </row>
    <row r="16" spans="1:29" x14ac:dyDescent="0.3">
      <c r="A16" s="38"/>
      <c r="B16" s="17" t="s">
        <v>77</v>
      </c>
      <c r="C16" s="18" t="s">
        <v>56</v>
      </c>
      <c r="D16" s="18" t="s">
        <v>84</v>
      </c>
      <c r="E16" s="54">
        <v>0.1</v>
      </c>
      <c r="F16" s="55"/>
      <c r="G16" s="55" t="s">
        <v>59</v>
      </c>
      <c r="H16" s="57"/>
      <c r="I16" s="58">
        <v>0.1</v>
      </c>
      <c r="J16" s="57">
        <v>60</v>
      </c>
      <c r="K16" s="57"/>
      <c r="L16" s="58">
        <v>0.1</v>
      </c>
      <c r="M16" s="57" t="s">
        <v>71</v>
      </c>
      <c r="P16" s="25"/>
      <c r="Q16" s="30">
        <v>11</v>
      </c>
      <c r="R16" s="1" t="s">
        <v>85</v>
      </c>
      <c r="S16" s="31"/>
      <c r="T16" s="14"/>
      <c r="U16" s="25"/>
      <c r="V16" s="30">
        <v>11</v>
      </c>
      <c r="W16" s="1" t="s">
        <v>86</v>
      </c>
      <c r="X16" s="32"/>
      <c r="AA16" s="29" t="s">
        <v>30</v>
      </c>
      <c r="AB16" s="29" t="s">
        <v>87</v>
      </c>
      <c r="AC16" s="29" t="s">
        <v>88</v>
      </c>
    </row>
    <row r="17" spans="1:29" x14ac:dyDescent="0.3">
      <c r="A17" s="38"/>
      <c r="B17" s="60" t="s">
        <v>81</v>
      </c>
      <c r="C17" s="18" t="s">
        <v>56</v>
      </c>
      <c r="D17" s="18" t="s">
        <v>84</v>
      </c>
      <c r="E17" s="54">
        <v>0.1</v>
      </c>
      <c r="F17" s="55"/>
      <c r="G17" s="55" t="s">
        <v>59</v>
      </c>
      <c r="H17" s="57"/>
      <c r="I17" s="58">
        <v>0.1</v>
      </c>
      <c r="J17" s="57">
        <v>60</v>
      </c>
      <c r="K17" s="57"/>
      <c r="L17" s="58">
        <v>0.1</v>
      </c>
      <c r="M17" s="57" t="s">
        <v>71</v>
      </c>
      <c r="P17" s="25"/>
      <c r="Q17" s="30">
        <v>12</v>
      </c>
      <c r="R17" s="1" t="s">
        <v>86</v>
      </c>
      <c r="S17" s="31"/>
      <c r="T17" s="14"/>
      <c r="U17" s="25"/>
      <c r="V17" s="30">
        <v>12</v>
      </c>
      <c r="W17" s="1" t="s">
        <v>89</v>
      </c>
      <c r="X17" s="32"/>
      <c r="AA17" s="29" t="s">
        <v>90</v>
      </c>
      <c r="AB17" s="29" t="s">
        <v>41</v>
      </c>
      <c r="AC17" s="29" t="s">
        <v>42</v>
      </c>
    </row>
    <row r="18" spans="1:29" x14ac:dyDescent="0.3">
      <c r="A18" s="16" t="s">
        <v>16</v>
      </c>
      <c r="B18" s="60" t="s">
        <v>83</v>
      </c>
      <c r="C18" s="61" t="s">
        <v>56</v>
      </c>
      <c r="D18" s="61" t="s">
        <v>91</v>
      </c>
      <c r="E18" s="58">
        <v>0.1</v>
      </c>
      <c r="F18" s="62" t="s">
        <v>92</v>
      </c>
      <c r="G18" s="55" t="s">
        <v>59</v>
      </c>
      <c r="H18" s="63"/>
      <c r="I18" s="58">
        <v>0.1</v>
      </c>
      <c r="J18" s="57">
        <v>60</v>
      </c>
      <c r="K18" s="63"/>
      <c r="L18" s="58">
        <v>0.1</v>
      </c>
      <c r="M18" s="63" t="s">
        <v>71</v>
      </c>
      <c r="P18" s="64"/>
      <c r="Q18" s="65"/>
      <c r="R18" s="65"/>
      <c r="S18" s="66"/>
      <c r="U18" s="64"/>
      <c r="V18" s="65"/>
      <c r="W18" s="65"/>
      <c r="X18" s="67"/>
      <c r="AA18" s="29" t="s">
        <v>93</v>
      </c>
      <c r="AB18" s="29" t="s">
        <v>94</v>
      </c>
      <c r="AC18" s="29" t="s">
        <v>95</v>
      </c>
    </row>
    <row r="19" spans="1:29" x14ac:dyDescent="0.3">
      <c r="A19" s="38"/>
      <c r="B19" s="17" t="s">
        <v>90</v>
      </c>
      <c r="C19" s="18" t="s">
        <v>56</v>
      </c>
      <c r="D19" s="18" t="s">
        <v>84</v>
      </c>
      <c r="E19" s="54">
        <v>0.1</v>
      </c>
      <c r="F19" s="56"/>
      <c r="G19" s="55" t="s">
        <v>59</v>
      </c>
      <c r="H19" s="57"/>
      <c r="I19" s="58">
        <v>0.1</v>
      </c>
      <c r="J19" s="57">
        <v>60</v>
      </c>
      <c r="K19" s="57"/>
      <c r="L19" s="58">
        <v>0.1</v>
      </c>
      <c r="M19" s="57" t="s">
        <v>71</v>
      </c>
      <c r="X19" s="14"/>
      <c r="AA19" s="29" t="s">
        <v>26</v>
      </c>
      <c r="AB19" s="29" t="s">
        <v>47</v>
      </c>
      <c r="AC19" s="29" t="s">
        <v>48</v>
      </c>
    </row>
    <row r="20" spans="1:29" x14ac:dyDescent="0.3">
      <c r="A20" s="16"/>
      <c r="B20" s="17" t="s">
        <v>93</v>
      </c>
      <c r="C20" s="18" t="s">
        <v>56</v>
      </c>
      <c r="D20" s="18" t="s">
        <v>96</v>
      </c>
      <c r="E20" s="59">
        <v>0.12</v>
      </c>
      <c r="F20" s="68"/>
      <c r="G20" s="55" t="s">
        <v>59</v>
      </c>
      <c r="H20" s="63"/>
      <c r="I20" s="58">
        <v>0.1</v>
      </c>
      <c r="J20" s="57">
        <v>60</v>
      </c>
      <c r="K20" s="63"/>
      <c r="L20" s="58">
        <v>0.1</v>
      </c>
      <c r="M20" s="63" t="s">
        <v>71</v>
      </c>
      <c r="R20" s="69" t="s">
        <v>97</v>
      </c>
      <c r="AA20" s="29" t="s">
        <v>17</v>
      </c>
      <c r="AB20" s="29" t="s">
        <v>47</v>
      </c>
      <c r="AC20" s="29" t="s">
        <v>48</v>
      </c>
    </row>
    <row r="21" spans="1:29" ht="15" customHeight="1" x14ac:dyDescent="0.3">
      <c r="A21" s="16" t="s">
        <v>16</v>
      </c>
      <c r="B21" s="17" t="s">
        <v>98</v>
      </c>
      <c r="C21" s="18" t="s">
        <v>56</v>
      </c>
      <c r="D21" s="19" t="s">
        <v>31</v>
      </c>
      <c r="E21" s="54">
        <v>0.1</v>
      </c>
      <c r="F21" s="62" t="s">
        <v>99</v>
      </c>
      <c r="G21" s="55" t="s">
        <v>59</v>
      </c>
      <c r="H21" s="63"/>
      <c r="I21" s="58">
        <v>0.1</v>
      </c>
      <c r="J21" s="57">
        <v>60</v>
      </c>
      <c r="K21" s="63"/>
      <c r="L21" s="58">
        <v>0.1</v>
      </c>
      <c r="M21" s="57" t="s">
        <v>71</v>
      </c>
      <c r="R21" s="70" t="s">
        <v>100</v>
      </c>
      <c r="AA21" s="29" t="s">
        <v>98</v>
      </c>
      <c r="AB21" s="29" t="s">
        <v>101</v>
      </c>
      <c r="AC21" s="29" t="s">
        <v>102</v>
      </c>
    </row>
    <row r="22" spans="1:29" ht="15" customHeight="1" x14ac:dyDescent="0.3">
      <c r="N22" s="71"/>
      <c r="AA22" s="29" t="s">
        <v>43</v>
      </c>
      <c r="AB22" s="29" t="s">
        <v>103</v>
      </c>
      <c r="AC22" s="29" t="s">
        <v>104</v>
      </c>
    </row>
    <row r="23" spans="1:29" x14ac:dyDescent="0.3">
      <c r="B23" s="159" t="s">
        <v>105</v>
      </c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71"/>
      <c r="R23" s="69" t="s">
        <v>106</v>
      </c>
      <c r="V23" s="72" t="s">
        <v>107</v>
      </c>
    </row>
    <row r="24" spans="1:29" x14ac:dyDescent="0.3">
      <c r="B24" s="154" t="s">
        <v>108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R24" s="70" t="s">
        <v>109</v>
      </c>
      <c r="V24" s="70" t="s">
        <v>110</v>
      </c>
    </row>
    <row r="25" spans="1:29" x14ac:dyDescent="0.3">
      <c r="B25" s="154" t="s">
        <v>111</v>
      </c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V25" s="156"/>
      <c r="W25" s="156"/>
    </row>
    <row r="26" spans="1:29" x14ac:dyDescent="0.3">
      <c r="B26" s="154" t="s">
        <v>112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73"/>
      <c r="R26" s="69" t="s">
        <v>113</v>
      </c>
      <c r="V26" s="69" t="s">
        <v>114</v>
      </c>
    </row>
    <row r="27" spans="1:29" x14ac:dyDescent="0.3">
      <c r="B27" s="154" t="s">
        <v>115</v>
      </c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73"/>
      <c r="R27" s="1" t="s">
        <v>116</v>
      </c>
      <c r="V27" s="1" t="s">
        <v>117</v>
      </c>
    </row>
    <row r="28" spans="1:29" x14ac:dyDescent="0.3">
      <c r="B28" s="154" t="s">
        <v>118</v>
      </c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73"/>
      <c r="R28" s="1" t="s">
        <v>119</v>
      </c>
      <c r="V28" s="1" t="s">
        <v>120</v>
      </c>
    </row>
    <row r="29" spans="1:29" x14ac:dyDescent="0.3">
      <c r="B29" s="154" t="s">
        <v>121</v>
      </c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R29" s="1" t="s">
        <v>122</v>
      </c>
      <c r="V29" s="1" t="s">
        <v>123</v>
      </c>
    </row>
    <row r="30" spans="1:29" x14ac:dyDescent="0.3">
      <c r="B30" s="153" t="s">
        <v>124</v>
      </c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R30" s="1" t="s">
        <v>125</v>
      </c>
      <c r="W30" s="1" t="s">
        <v>126</v>
      </c>
    </row>
    <row r="31" spans="1:29" x14ac:dyDescent="0.3">
      <c r="B31" s="153" t="s">
        <v>127</v>
      </c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R31" s="70" t="s">
        <v>128</v>
      </c>
      <c r="W31" s="1" t="s">
        <v>129</v>
      </c>
    </row>
    <row r="32" spans="1:29" x14ac:dyDescent="0.3">
      <c r="B32" s="153" t="s">
        <v>130</v>
      </c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</row>
    <row r="33" spans="2:13" x14ac:dyDescent="0.3">
      <c r="B33" s="154" t="s">
        <v>131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spans="2:13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</row>
    <row r="35" spans="2:13" x14ac:dyDescent="0.3">
      <c r="B35" s="75" t="s">
        <v>132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</row>
    <row r="36" spans="2:13" x14ac:dyDescent="0.3">
      <c r="B36" s="1" t="s">
        <v>133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</row>
    <row r="37" spans="2:13" x14ac:dyDescent="0.3"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</row>
    <row r="38" spans="2:13" x14ac:dyDescent="0.3"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</row>
    <row r="39" spans="2:13" x14ac:dyDescent="0.3">
      <c r="B39" s="76"/>
    </row>
    <row r="42" spans="2:13" x14ac:dyDescent="0.3">
      <c r="B42" s="69"/>
    </row>
    <row r="43" spans="2:13" x14ac:dyDescent="0.3">
      <c r="B43" s="155"/>
      <c r="C43" s="155"/>
      <c r="D43" s="155"/>
    </row>
  </sheetData>
  <autoFilter ref="A3:M21" xr:uid="{27C47C64-5BA2-4774-BE4B-59B66BC9B742}">
    <filterColumn colId="1">
      <filters>
        <filter val="Alto Buzeta (MT)"/>
        <filter val="Cáceres"/>
        <filter val="General Mackenna"/>
        <filter val="Jardines de Alvarado"/>
        <filter val="Mirador Mapocho"/>
        <filter val="Pintor Cicarelli I (PC I)"/>
        <filter val="Pintor Cicarelli II"/>
        <filter val="Plaza Cervantes I"/>
        <filter val="Plaza Cervantes II"/>
        <filter val="Plaza Quilicura"/>
        <filter val="SERRANO TORRE A"/>
        <filter val="Trinidad III"/>
        <filter val="Vista Costanera"/>
        <filter val="Vista Llacolén A"/>
        <filter val="Vista Llacolén B2"/>
        <filter val="Vista Reloncaví"/>
        <filter val="Vistamar"/>
      </filters>
    </filterColumn>
  </autoFilter>
  <mergeCells count="16">
    <mergeCell ref="B25:M25"/>
    <mergeCell ref="V25:W25"/>
    <mergeCell ref="Q1:W2"/>
    <mergeCell ref="Q4:R4"/>
    <mergeCell ref="V4:X4"/>
    <mergeCell ref="B23:M23"/>
    <mergeCell ref="B24:M24"/>
    <mergeCell ref="B32:M32"/>
    <mergeCell ref="B33:M33"/>
    <mergeCell ref="B43:D43"/>
    <mergeCell ref="B26:M26"/>
    <mergeCell ref="B27:M27"/>
    <mergeCell ref="B28:M28"/>
    <mergeCell ref="B29:M29"/>
    <mergeCell ref="B30:M30"/>
    <mergeCell ref="B31:M31"/>
  </mergeCells>
  <conditionalFormatting sqref="T4 X4 T6:T17 X6:X19">
    <cfRule type="containsText" dxfId="2" priority="1" operator="containsText" text="VB">
      <formula>NOT(ISERROR(SEARCH("VB",T4)))</formula>
    </cfRule>
  </conditionalFormatting>
  <hyperlinks>
    <hyperlink ref="R21" r:id="rId1" xr:uid="{B3228100-9D1F-4EF3-A8BD-73B779414500}"/>
    <hyperlink ref="R24" r:id="rId2" xr:uid="{534CD4D5-6AAD-481D-9571-FE40A99A534E}"/>
    <hyperlink ref="V24" r:id="rId3" xr:uid="{E764822C-F941-43D3-B2BA-F44309D44DAF}"/>
    <hyperlink ref="R31" r:id="rId4" xr:uid="{3BA80470-C466-4405-B37F-886220904CB4}"/>
    <hyperlink ref="C3" r:id="rId5" xr:uid="{D23AE420-7A89-4F9F-9CD4-F3647C2ABA64}"/>
    <hyperlink ref="B3" r:id="rId6" xr:uid="{7D65855B-4755-46F9-B11F-6DF5FCE469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D205-881D-4D48-9356-425D8A76BAA3}">
  <sheetPr>
    <pageSetUpPr fitToPage="1"/>
  </sheetPr>
  <dimension ref="B2:I1175"/>
  <sheetViews>
    <sheetView tabSelected="1" topLeftCell="A22" workbookViewId="0">
      <selection activeCell="D38" sqref="D38"/>
    </sheetView>
  </sheetViews>
  <sheetFormatPr defaultColWidth="12.6640625" defaultRowHeight="15" customHeight="1" x14ac:dyDescent="0.3"/>
  <cols>
    <col min="1" max="1" width="2.88671875" style="1" customWidth="1"/>
    <col min="2" max="2" width="12.6640625" style="1"/>
    <col min="3" max="3" width="33.44140625" style="1" bestFit="1" customWidth="1"/>
    <col min="4" max="4" width="22.5546875" style="1" bestFit="1" customWidth="1"/>
    <col min="5" max="5" width="6.88671875" style="1" bestFit="1" customWidth="1"/>
    <col min="6" max="6" width="28" style="1" bestFit="1" customWidth="1"/>
    <col min="7" max="7" width="7.33203125" style="1" bestFit="1" customWidth="1"/>
    <col min="8" max="8" width="13.33203125" style="1" bestFit="1" customWidth="1"/>
    <col min="9" max="9" width="2.88671875" style="1" customWidth="1"/>
    <col min="10" max="16384" width="12.6640625" style="1"/>
  </cols>
  <sheetData>
    <row r="2" spans="2:9" ht="15" customHeight="1" x14ac:dyDescent="0.3">
      <c r="C2" s="77" t="s">
        <v>134</v>
      </c>
      <c r="D2" s="78" t="s">
        <v>135</v>
      </c>
    </row>
    <row r="4" spans="2:9" ht="15" customHeight="1" x14ac:dyDescent="0.3">
      <c r="C4" s="152" t="s">
        <v>136</v>
      </c>
      <c r="D4" s="152"/>
      <c r="E4" s="152"/>
      <c r="F4" s="152"/>
      <c r="G4" s="152"/>
    </row>
    <row r="5" spans="2:9" ht="15" customHeight="1" x14ac:dyDescent="0.35">
      <c r="C5" s="79"/>
      <c r="D5" s="79"/>
    </row>
    <row r="6" spans="2:9" ht="15" customHeight="1" x14ac:dyDescent="0.3">
      <c r="B6" s="10"/>
      <c r="C6" s="12"/>
      <c r="D6" s="12"/>
      <c r="E6" s="12"/>
      <c r="F6" s="12"/>
      <c r="G6" s="12"/>
      <c r="H6" s="13"/>
    </row>
    <row r="7" spans="2:9" ht="15" customHeight="1" x14ac:dyDescent="0.35">
      <c r="B7" s="25"/>
      <c r="C7" s="80" t="s">
        <v>53</v>
      </c>
      <c r="D7" s="81" t="str">
        <f>VLOOKUP(C7,'Condiciones Comerciales'!$B$3:$C$21,2,FALSE)</f>
        <v>Inmediata</v>
      </c>
      <c r="H7" s="31"/>
    </row>
    <row r="8" spans="2:9" ht="15" customHeight="1" x14ac:dyDescent="0.3">
      <c r="B8" s="25"/>
      <c r="H8" s="31"/>
    </row>
    <row r="9" spans="2:9" ht="15" customHeight="1" x14ac:dyDescent="0.3">
      <c r="B9" s="25"/>
      <c r="D9" s="69" t="s">
        <v>137</v>
      </c>
      <c r="F9"/>
      <c r="H9" s="31"/>
    </row>
    <row r="10" spans="2:9" ht="15" customHeight="1" x14ac:dyDescent="0.3">
      <c r="B10" s="25"/>
      <c r="C10" s="82" t="s">
        <v>138</v>
      </c>
      <c r="D10" s="83">
        <v>2519</v>
      </c>
      <c r="H10" s="31"/>
    </row>
    <row r="11" spans="2:9" ht="15" customHeight="1" x14ac:dyDescent="0.3">
      <c r="B11" s="25"/>
      <c r="C11" s="82" t="s">
        <v>139</v>
      </c>
      <c r="D11" s="83">
        <v>0</v>
      </c>
      <c r="F11" s="69"/>
      <c r="G11" s="84"/>
      <c r="H11" s="31"/>
      <c r="I11" s="85"/>
    </row>
    <row r="12" spans="2:9" ht="15" customHeight="1" x14ac:dyDescent="0.3">
      <c r="B12" s="25"/>
      <c r="C12" s="82" t="s">
        <v>140</v>
      </c>
      <c r="D12" s="83">
        <v>0</v>
      </c>
      <c r="F12" s="86"/>
      <c r="G12" s="87"/>
      <c r="H12" s="88"/>
    </row>
    <row r="13" spans="2:9" ht="15" customHeight="1" x14ac:dyDescent="0.3">
      <c r="B13" s="25"/>
      <c r="D13" s="89">
        <f>SUM(D10:D12)</f>
        <v>2519</v>
      </c>
      <c r="F13" s="86"/>
      <c r="G13" s="87"/>
      <c r="H13" s="88"/>
    </row>
    <row r="14" spans="2:9" ht="15" customHeight="1" x14ac:dyDescent="0.3">
      <c r="B14" s="25"/>
      <c r="F14" s="86"/>
      <c r="G14" s="87"/>
      <c r="H14" s="88"/>
    </row>
    <row r="15" spans="2:9" ht="15" customHeight="1" x14ac:dyDescent="0.3">
      <c r="B15" s="25"/>
      <c r="C15" s="137" t="s">
        <v>141</v>
      </c>
      <c r="D15" s="91">
        <f>VLOOKUP(C7,'Condiciones Comerciales'!B3:E21,4,FALSE)</f>
        <v>0.13</v>
      </c>
      <c r="F15" s="86"/>
      <c r="G15" s="87"/>
      <c r="H15" s="88"/>
    </row>
    <row r="16" spans="2:9" ht="15" customHeight="1" x14ac:dyDescent="0.3">
      <c r="B16" s="25"/>
      <c r="F16" s="86"/>
      <c r="G16" s="92"/>
      <c r="H16" s="88"/>
    </row>
    <row r="17" spans="2:9" ht="15" customHeight="1" x14ac:dyDescent="0.3">
      <c r="B17" s="25"/>
      <c r="D17" s="69" t="s">
        <v>142</v>
      </c>
      <c r="G17" s="93"/>
      <c r="H17" s="31"/>
    </row>
    <row r="18" spans="2:9" ht="15" customHeight="1" x14ac:dyDescent="0.3">
      <c r="B18" s="25"/>
      <c r="C18" s="138" t="s">
        <v>143</v>
      </c>
      <c r="D18" s="139">
        <f>D10*(100%-D15)</f>
        <v>2191.5300000000002</v>
      </c>
      <c r="H18" s="31"/>
    </row>
    <row r="19" spans="2:9" ht="15" customHeight="1" x14ac:dyDescent="0.3">
      <c r="B19" s="25"/>
      <c r="C19" s="138" t="s">
        <v>144</v>
      </c>
      <c r="D19" s="139">
        <f>D11</f>
        <v>0</v>
      </c>
      <c r="F19" s="69"/>
      <c r="G19" s="84"/>
      <c r="H19" s="31"/>
      <c r="I19" s="85"/>
    </row>
    <row r="20" spans="2:9" ht="15" customHeight="1" x14ac:dyDescent="0.3">
      <c r="B20" s="25"/>
      <c r="C20" s="138" t="s">
        <v>140</v>
      </c>
      <c r="D20" s="139">
        <f>D12</f>
        <v>0</v>
      </c>
      <c r="F20" s="86"/>
      <c r="G20" s="92"/>
      <c r="H20" s="94"/>
    </row>
    <row r="21" spans="2:9" ht="15" customHeight="1" x14ac:dyDescent="0.3">
      <c r="B21" s="25"/>
      <c r="C21" s="140" t="s">
        <v>145</v>
      </c>
      <c r="D21" s="141">
        <f>SUM(D18:D20)</f>
        <v>2191.5300000000002</v>
      </c>
      <c r="F21" s="86"/>
      <c r="G21" s="92"/>
      <c r="H21" s="94"/>
    </row>
    <row r="22" spans="2:9" ht="15" customHeight="1" x14ac:dyDescent="0.3">
      <c r="B22" s="25"/>
      <c r="F22" s="95" t="s">
        <v>146</v>
      </c>
      <c r="G22" s="92"/>
      <c r="H22" s="94"/>
    </row>
    <row r="23" spans="2:9" ht="15" customHeight="1" x14ac:dyDescent="0.3">
      <c r="B23" s="25"/>
      <c r="C23" s="142" t="s">
        <v>147</v>
      </c>
      <c r="D23" s="143">
        <v>0.1</v>
      </c>
      <c r="F23" s="86"/>
      <c r="G23" s="96" t="s">
        <v>148</v>
      </c>
      <c r="H23" s="97">
        <v>39801.980000000003</v>
      </c>
    </row>
    <row r="24" spans="2:9" ht="15" customHeight="1" x14ac:dyDescent="0.3">
      <c r="B24" s="25"/>
      <c r="F24" s="86"/>
      <c r="G24" s="92"/>
      <c r="H24" s="94"/>
    </row>
    <row r="25" spans="2:9" ht="15" customHeight="1" x14ac:dyDescent="0.3">
      <c r="B25" s="25"/>
      <c r="C25" s="144" t="s">
        <v>149</v>
      </c>
      <c r="D25" s="145">
        <f>100000/H23</f>
        <v>2.512437823444964</v>
      </c>
      <c r="E25" s="98">
        <f>D25/$D$21</f>
        <v>1.1464309516387929E-3</v>
      </c>
      <c r="F25" s="99"/>
      <c r="G25" s="99"/>
      <c r="H25" s="100"/>
    </row>
    <row r="26" spans="2:9" ht="15" customHeight="1" x14ac:dyDescent="0.3">
      <c r="B26" s="25"/>
      <c r="C26" s="146" t="s">
        <v>150</v>
      </c>
      <c r="D26" s="143">
        <v>0.02</v>
      </c>
      <c r="E26" s="98"/>
      <c r="F26" s="99"/>
      <c r="G26" s="99"/>
      <c r="H26" s="100"/>
    </row>
    <row r="27" spans="2:9" ht="15" customHeight="1" x14ac:dyDescent="0.3">
      <c r="B27" s="25"/>
      <c r="C27" s="144" t="s">
        <v>151</v>
      </c>
      <c r="D27" s="147">
        <f>D21*D26</f>
        <v>43.830600000000004</v>
      </c>
      <c r="E27" s="98">
        <f>D27/$D$21</f>
        <v>0.02</v>
      </c>
      <c r="F27" s="99"/>
      <c r="G27" s="99"/>
      <c r="H27" s="100"/>
    </row>
    <row r="28" spans="2:9" ht="15" customHeight="1" x14ac:dyDescent="0.3">
      <c r="B28" s="25"/>
      <c r="C28" s="148" t="s">
        <v>152</v>
      </c>
      <c r="D28" s="147">
        <f>IF(D23=0%,0,D21*D23-D25-D27)</f>
        <v>172.80996217655505</v>
      </c>
      <c r="E28" s="98">
        <f>D28/$D$21</f>
        <v>7.8853569048361202E-2</v>
      </c>
      <c r="F28" s="102" t="str">
        <f>IF(D7="Inmediata","* Mutuo Maestra 60 cuotas de:", "* Cuotas sin interés desde:")</f>
        <v>* Mutuo Maestra 60 cuotas de:</v>
      </c>
      <c r="G28" s="103">
        <f>IF(D7="Inmediata",-PMT(5%/12,60,D28),7)</f>
        <v>3.261137172246463</v>
      </c>
      <c r="H28" s="104">
        <f>+G28*H23</f>
        <v>129799.71650701029</v>
      </c>
    </row>
    <row r="29" spans="2:9" ht="15" customHeight="1" x14ac:dyDescent="0.3">
      <c r="B29" s="25"/>
      <c r="C29" s="1" t="s">
        <v>153</v>
      </c>
      <c r="D29" s="101">
        <f>+D21*(100%-D23)</f>
        <v>1972.3770000000002</v>
      </c>
      <c r="E29" s="98">
        <f>D29/$D$21</f>
        <v>0.9</v>
      </c>
      <c r="F29" s="102" t="str">
        <f>IF(G28=7,"Cuotas de UF 7:","")</f>
        <v/>
      </c>
      <c r="G29" s="105" t="str">
        <f>IF(G28=7,ROUNDDOWN(D28/7,0),"")</f>
        <v/>
      </c>
      <c r="H29" s="106"/>
    </row>
    <row r="30" spans="2:9" ht="15" customHeight="1" x14ac:dyDescent="0.3">
      <c r="B30" s="25"/>
      <c r="D30" s="101"/>
      <c r="E30" s="107"/>
      <c r="F30" s="102" t="str">
        <f>IF(G28=7,"Diferencia cuota adicional:","")</f>
        <v/>
      </c>
      <c r="G30" s="103" t="str">
        <f>IF(G28=7,D28-(G28*G29),"")</f>
        <v/>
      </c>
      <c r="H30" s="100"/>
    </row>
    <row r="31" spans="2:9" ht="15" customHeight="1" x14ac:dyDescent="0.3">
      <c r="B31" s="25"/>
      <c r="C31" s="132" t="s">
        <v>172</v>
      </c>
      <c r="D31" s="133">
        <v>0.1</v>
      </c>
      <c r="F31" s="108" t="str">
        <f>IF(G28=7,"Máximo de cuotas Proyecto:","")</f>
        <v/>
      </c>
      <c r="G31" s="109" t="str">
        <f>IF(G28=7,VLOOKUP(C7,'Condiciones Comerciales'!B3:J21,9,FALSE),"")</f>
        <v/>
      </c>
      <c r="H31" s="110" t="str">
        <f>IF(G28=7,IF(G31&gt;=(G29+1),"OK","No Cumple"),"")</f>
        <v/>
      </c>
    </row>
    <row r="32" spans="2:9" ht="15" customHeight="1" x14ac:dyDescent="0.3">
      <c r="B32" s="25"/>
      <c r="C32" s="111"/>
      <c r="D32" s="112"/>
      <c r="F32" s="102" t="str">
        <f>IF(H31="No Cumple","Debe pagar cuotas de:","")</f>
        <v/>
      </c>
      <c r="G32" s="103" t="str">
        <f>IF(H31="No Cumple",D28/G31,"")</f>
        <v/>
      </c>
      <c r="H32" s="104" t="str">
        <f>IF(F32&lt;&gt;"",G32*H23,"")</f>
        <v/>
      </c>
    </row>
    <row r="33" spans="2:8" ht="15" customHeight="1" x14ac:dyDescent="0.3">
      <c r="B33" s="25"/>
      <c r="C33" s="90" t="s">
        <v>154</v>
      </c>
      <c r="D33" s="113">
        <f>100%-D23-D31</f>
        <v>0.8</v>
      </c>
      <c r="H33" s="31"/>
    </row>
    <row r="34" spans="2:8" ht="15" customHeight="1" x14ac:dyDescent="0.3">
      <c r="B34" s="25"/>
      <c r="C34" s="111"/>
      <c r="D34" s="112"/>
      <c r="H34" s="31"/>
    </row>
    <row r="35" spans="2:8" ht="15" customHeight="1" x14ac:dyDescent="0.3">
      <c r="B35" s="25"/>
      <c r="C35" s="149" t="s">
        <v>155</v>
      </c>
      <c r="D35" s="150">
        <f>D29/D33</f>
        <v>2465.4712500000001</v>
      </c>
      <c r="H35" s="31"/>
    </row>
    <row r="36" spans="2:8" ht="15" customHeight="1" x14ac:dyDescent="0.3">
      <c r="B36" s="25"/>
      <c r="C36" s="134" t="s">
        <v>173</v>
      </c>
      <c r="D36" s="135">
        <f>D35-D37-D38</f>
        <v>273.94125000000008</v>
      </c>
      <c r="E36" s="136">
        <f>D36/$D$35</f>
        <v>0.11111111111111115</v>
      </c>
      <c r="H36" s="31"/>
    </row>
    <row r="37" spans="2:8" ht="15" customHeight="1" x14ac:dyDescent="0.3">
      <c r="B37" s="25"/>
      <c r="C37" s="149" t="s">
        <v>156</v>
      </c>
      <c r="D37" s="150">
        <f>D25+D27+D28</f>
        <v>219.15300000000002</v>
      </c>
      <c r="E37" s="151">
        <f t="shared" ref="E37:E38" si="0">D37/$D$35</f>
        <v>8.8888888888888892E-2</v>
      </c>
      <c r="H37" s="31"/>
    </row>
    <row r="38" spans="2:8" ht="15" customHeight="1" x14ac:dyDescent="0.3">
      <c r="B38" s="25"/>
      <c r="C38" s="149" t="s">
        <v>174</v>
      </c>
      <c r="D38" s="150">
        <f>D35*D33</f>
        <v>1972.3770000000002</v>
      </c>
      <c r="E38" s="151">
        <f t="shared" si="0"/>
        <v>0.8</v>
      </c>
      <c r="F38" s="114" t="s">
        <v>157</v>
      </c>
      <c r="G38" s="115">
        <f>PMT(4%/12,300,-D38)</f>
        <v>10.410932435560092</v>
      </c>
      <c r="H38" s="116">
        <f>+G38*H23</f>
        <v>414375.72458151408</v>
      </c>
    </row>
    <row r="39" spans="2:8" ht="15" customHeight="1" x14ac:dyDescent="0.3">
      <c r="B39" s="64"/>
      <c r="C39" s="117"/>
      <c r="D39" s="118"/>
      <c r="E39" s="119"/>
      <c r="F39" s="120"/>
      <c r="G39" s="121"/>
      <c r="H39" s="66"/>
    </row>
    <row r="40" spans="2:8" ht="15" customHeight="1" x14ac:dyDescent="0.3">
      <c r="B40" s="25"/>
      <c r="C40" s="111"/>
      <c r="D40" s="84"/>
      <c r="E40" s="98"/>
      <c r="F40" s="114"/>
      <c r="G40" s="115"/>
      <c r="H40" s="31"/>
    </row>
    <row r="41" spans="2:8" ht="15" customHeight="1" x14ac:dyDescent="0.3">
      <c r="B41" s="25"/>
      <c r="C41" s="90" t="s">
        <v>158</v>
      </c>
      <c r="D41" s="113"/>
      <c r="E41" s="98"/>
      <c r="F41" s="114"/>
      <c r="G41" s="115"/>
      <c r="H41" s="31"/>
    </row>
    <row r="42" spans="2:8" ht="15" customHeight="1" x14ac:dyDescent="0.3">
      <c r="B42" s="25"/>
      <c r="C42" s="111"/>
      <c r="D42" s="84"/>
      <c r="E42" s="98"/>
      <c r="F42" s="114"/>
      <c r="G42" s="115"/>
      <c r="H42" s="31"/>
    </row>
    <row r="43" spans="2:8" ht="15" customHeight="1" x14ac:dyDescent="0.3">
      <c r="B43" s="25"/>
      <c r="C43" s="122" t="s">
        <v>159</v>
      </c>
      <c r="D43" s="123">
        <f>800000/H23</f>
        <v>20.099502587559712</v>
      </c>
      <c r="E43" s="124"/>
      <c r="F43" s="125" t="s">
        <v>160</v>
      </c>
      <c r="G43" s="115"/>
      <c r="H43" s="32" t="s">
        <v>161</v>
      </c>
    </row>
    <row r="44" spans="2:8" ht="15" customHeight="1" x14ac:dyDescent="0.3">
      <c r="B44" s="25"/>
      <c r="C44" s="122" t="s">
        <v>162</v>
      </c>
      <c r="D44" s="123">
        <f>380000/H23</f>
        <v>9.5472637290908633</v>
      </c>
      <c r="E44" s="124"/>
      <c r="F44" s="125" t="s">
        <v>163</v>
      </c>
      <c r="G44" s="115"/>
      <c r="H44" s="126">
        <f>+D43/24+D44-G38</f>
        <v>-2.6189431987573286E-2</v>
      </c>
    </row>
    <row r="45" spans="2:8" ht="15" customHeight="1" x14ac:dyDescent="0.3">
      <c r="B45" s="64"/>
      <c r="C45" s="65"/>
      <c r="D45" s="65"/>
      <c r="E45" s="65"/>
      <c r="F45" s="65"/>
      <c r="G45" s="65"/>
      <c r="H45" s="127">
        <f>+H44*H23</f>
        <v>-1042.3912481807522</v>
      </c>
    </row>
    <row r="46" spans="2:8" ht="15" customHeight="1" x14ac:dyDescent="0.3">
      <c r="D46" s="92"/>
    </row>
    <row r="49" spans="3:4" ht="15" customHeight="1" x14ac:dyDescent="0.3">
      <c r="C49" t="s">
        <v>2</v>
      </c>
      <c r="D49" t="s">
        <v>63</v>
      </c>
    </row>
    <row r="50" spans="3:4" ht="15" customHeight="1" x14ac:dyDescent="0.3">
      <c r="C50" t="s">
        <v>164</v>
      </c>
      <c r="D50" t="s">
        <v>165</v>
      </c>
    </row>
    <row r="52" spans="3:4" ht="15" customHeight="1" x14ac:dyDescent="0.3">
      <c r="C52" t="s">
        <v>166</v>
      </c>
      <c r="D52" s="128" t="s">
        <v>137</v>
      </c>
    </row>
    <row r="53" spans="3:4" ht="15" customHeight="1" x14ac:dyDescent="0.3">
      <c r="C53" s="129">
        <v>13</v>
      </c>
      <c r="D53" s="128">
        <v>320</v>
      </c>
    </row>
    <row r="54" spans="3:4" ht="15" customHeight="1" x14ac:dyDescent="0.3">
      <c r="C54" s="130" t="s">
        <v>167</v>
      </c>
      <c r="D54" s="128">
        <v>320</v>
      </c>
    </row>
    <row r="55" spans="3:4" ht="15" customHeight="1" x14ac:dyDescent="0.3">
      <c r="C55" s="131" t="s">
        <v>168</v>
      </c>
      <c r="D55" s="128">
        <v>320</v>
      </c>
    </row>
    <row r="56" spans="3:4" ht="15" customHeight="1" x14ac:dyDescent="0.3">
      <c r="C56" s="129">
        <v>32</v>
      </c>
      <c r="D56" s="128">
        <v>350</v>
      </c>
    </row>
    <row r="57" spans="3:4" ht="15" customHeight="1" x14ac:dyDescent="0.3">
      <c r="C57" s="130" t="s">
        <v>169</v>
      </c>
      <c r="D57" s="128">
        <v>350</v>
      </c>
    </row>
    <row r="58" spans="3:4" ht="15" customHeight="1" x14ac:dyDescent="0.3">
      <c r="C58" s="131" t="s">
        <v>168</v>
      </c>
      <c r="D58" s="128">
        <v>350</v>
      </c>
    </row>
    <row r="59" spans="3:4" ht="15" customHeight="1" x14ac:dyDescent="0.3">
      <c r="C59" s="129">
        <v>34</v>
      </c>
      <c r="D59" s="128">
        <v>350</v>
      </c>
    </row>
    <row r="60" spans="3:4" ht="15" customHeight="1" x14ac:dyDescent="0.3">
      <c r="C60" s="130" t="s">
        <v>169</v>
      </c>
      <c r="D60" s="128">
        <v>350</v>
      </c>
    </row>
    <row r="61" spans="3:4" ht="15" customHeight="1" x14ac:dyDescent="0.3">
      <c r="C61" s="131" t="s">
        <v>168</v>
      </c>
      <c r="D61" s="128">
        <v>350</v>
      </c>
    </row>
    <row r="62" spans="3:4" ht="15" customHeight="1" x14ac:dyDescent="0.3">
      <c r="C62" s="129">
        <v>35</v>
      </c>
      <c r="D62" s="128">
        <v>350</v>
      </c>
    </row>
    <row r="63" spans="3:4" ht="15" customHeight="1" x14ac:dyDescent="0.3">
      <c r="C63" s="130" t="s">
        <v>169</v>
      </c>
      <c r="D63" s="128">
        <v>350</v>
      </c>
    </row>
    <row r="64" spans="3:4" ht="15" customHeight="1" x14ac:dyDescent="0.3">
      <c r="C64" s="131" t="s">
        <v>168</v>
      </c>
      <c r="D64" s="128">
        <v>350</v>
      </c>
    </row>
    <row r="65" spans="3:4" ht="15" customHeight="1" x14ac:dyDescent="0.3">
      <c r="C65" s="129">
        <v>7</v>
      </c>
      <c r="D65" s="128">
        <v>350</v>
      </c>
    </row>
    <row r="66" spans="3:4" ht="15" customHeight="1" x14ac:dyDescent="0.3">
      <c r="C66" s="130" t="s">
        <v>167</v>
      </c>
      <c r="D66" s="128">
        <v>350</v>
      </c>
    </row>
    <row r="67" spans="3:4" ht="15" customHeight="1" x14ac:dyDescent="0.3">
      <c r="C67" s="131" t="s">
        <v>168</v>
      </c>
      <c r="D67" s="128">
        <v>350</v>
      </c>
    </row>
    <row r="68" spans="3:4" ht="15" customHeight="1" x14ac:dyDescent="0.3">
      <c r="C68" s="129">
        <v>36</v>
      </c>
      <c r="D68" s="128">
        <v>350</v>
      </c>
    </row>
    <row r="69" spans="3:4" ht="15" customHeight="1" x14ac:dyDescent="0.3">
      <c r="C69" s="130" t="s">
        <v>169</v>
      </c>
      <c r="D69" s="128">
        <v>350</v>
      </c>
    </row>
    <row r="70" spans="3:4" ht="15" customHeight="1" x14ac:dyDescent="0.3">
      <c r="C70" s="131" t="s">
        <v>168</v>
      </c>
      <c r="D70" s="128">
        <v>350</v>
      </c>
    </row>
    <row r="71" spans="3:4" ht="15" customHeight="1" x14ac:dyDescent="0.3">
      <c r="C71" s="129">
        <v>10</v>
      </c>
      <c r="D71" s="128">
        <v>350</v>
      </c>
    </row>
    <row r="72" spans="3:4" ht="15" customHeight="1" x14ac:dyDescent="0.3">
      <c r="C72" s="130" t="s">
        <v>167</v>
      </c>
      <c r="D72" s="128">
        <v>350</v>
      </c>
    </row>
    <row r="73" spans="3:4" ht="15" customHeight="1" x14ac:dyDescent="0.3">
      <c r="C73" s="131" t="s">
        <v>168</v>
      </c>
      <c r="D73" s="128">
        <v>350</v>
      </c>
    </row>
    <row r="74" spans="3:4" ht="15" customHeight="1" x14ac:dyDescent="0.3">
      <c r="C74" s="129">
        <v>37</v>
      </c>
      <c r="D74" s="128">
        <v>350</v>
      </c>
    </row>
    <row r="75" spans="3:4" ht="15" customHeight="1" x14ac:dyDescent="0.3">
      <c r="C75" s="130" t="s">
        <v>169</v>
      </c>
      <c r="D75" s="128">
        <v>350</v>
      </c>
    </row>
    <row r="76" spans="3:4" ht="15" customHeight="1" x14ac:dyDescent="0.3">
      <c r="C76" s="131" t="s">
        <v>168</v>
      </c>
      <c r="D76" s="128">
        <v>350</v>
      </c>
    </row>
    <row r="77" spans="3:4" ht="15" customHeight="1" x14ac:dyDescent="0.3">
      <c r="C77" s="129">
        <v>5</v>
      </c>
      <c r="D77" s="128">
        <v>350</v>
      </c>
    </row>
    <row r="78" spans="3:4" ht="15" customHeight="1" x14ac:dyDescent="0.3">
      <c r="C78" s="130" t="s">
        <v>167</v>
      </c>
      <c r="D78" s="128">
        <v>350</v>
      </c>
    </row>
    <row r="79" spans="3:4" ht="15" customHeight="1" x14ac:dyDescent="0.3">
      <c r="C79" s="131" t="s">
        <v>168</v>
      </c>
      <c r="D79" s="128">
        <v>350</v>
      </c>
    </row>
    <row r="80" spans="3:4" ht="15" customHeight="1" x14ac:dyDescent="0.3">
      <c r="C80" s="129">
        <v>38</v>
      </c>
      <c r="D80" s="128">
        <v>350</v>
      </c>
    </row>
    <row r="81" spans="3:4" ht="15" customHeight="1" x14ac:dyDescent="0.3">
      <c r="C81" s="130" t="s">
        <v>169</v>
      </c>
      <c r="D81" s="128">
        <v>350</v>
      </c>
    </row>
    <row r="82" spans="3:4" ht="15" customHeight="1" x14ac:dyDescent="0.3">
      <c r="C82" s="131" t="s">
        <v>168</v>
      </c>
      <c r="D82" s="128">
        <v>350</v>
      </c>
    </row>
    <row r="83" spans="3:4" ht="15" customHeight="1" x14ac:dyDescent="0.3">
      <c r="C83" s="129">
        <v>20</v>
      </c>
      <c r="D83" s="128">
        <v>350</v>
      </c>
    </row>
    <row r="84" spans="3:4" ht="15" customHeight="1" x14ac:dyDescent="0.3">
      <c r="C84" s="130" t="s">
        <v>169</v>
      </c>
      <c r="D84" s="128">
        <v>350</v>
      </c>
    </row>
    <row r="85" spans="3:4" ht="15" customHeight="1" x14ac:dyDescent="0.3">
      <c r="C85" s="131" t="s">
        <v>168</v>
      </c>
      <c r="D85" s="128">
        <v>350</v>
      </c>
    </row>
    <row r="86" spans="3:4" ht="15" customHeight="1" x14ac:dyDescent="0.3">
      <c r="C86" s="129">
        <v>39</v>
      </c>
      <c r="D86" s="128">
        <v>350</v>
      </c>
    </row>
    <row r="87" spans="3:4" ht="15" customHeight="1" x14ac:dyDescent="0.3">
      <c r="C87" s="130" t="s">
        <v>169</v>
      </c>
      <c r="D87" s="128">
        <v>350</v>
      </c>
    </row>
    <row r="88" spans="3:4" ht="15" customHeight="1" x14ac:dyDescent="0.3">
      <c r="C88" s="131" t="s">
        <v>168</v>
      </c>
      <c r="D88" s="128">
        <v>350</v>
      </c>
    </row>
    <row r="89" spans="3:4" ht="15" customHeight="1" x14ac:dyDescent="0.3">
      <c r="C89" s="129">
        <v>24</v>
      </c>
      <c r="D89" s="128">
        <v>350</v>
      </c>
    </row>
    <row r="90" spans="3:4" ht="15" customHeight="1" x14ac:dyDescent="0.3">
      <c r="C90" s="130" t="s">
        <v>169</v>
      </c>
      <c r="D90" s="128">
        <v>350</v>
      </c>
    </row>
    <row r="91" spans="3:4" ht="15" customHeight="1" x14ac:dyDescent="0.3">
      <c r="C91" s="131" t="s">
        <v>168</v>
      </c>
      <c r="D91" s="128">
        <v>350</v>
      </c>
    </row>
    <row r="92" spans="3:4" ht="15" customHeight="1" x14ac:dyDescent="0.3">
      <c r="C92" s="129">
        <v>40</v>
      </c>
      <c r="D92" s="128">
        <v>350</v>
      </c>
    </row>
    <row r="93" spans="3:4" ht="15" customHeight="1" x14ac:dyDescent="0.3">
      <c r="C93" s="130" t="s">
        <v>169</v>
      </c>
      <c r="D93" s="128">
        <v>350</v>
      </c>
    </row>
    <row r="94" spans="3:4" ht="15" customHeight="1" x14ac:dyDescent="0.3">
      <c r="C94" s="131" t="s">
        <v>168</v>
      </c>
      <c r="D94" s="128">
        <v>350</v>
      </c>
    </row>
    <row r="95" spans="3:4" ht="15" customHeight="1" x14ac:dyDescent="0.3">
      <c r="C95" s="129">
        <v>26</v>
      </c>
      <c r="D95" s="128">
        <v>350</v>
      </c>
    </row>
    <row r="96" spans="3:4" ht="15" customHeight="1" x14ac:dyDescent="0.3">
      <c r="C96" s="130" t="s">
        <v>169</v>
      </c>
      <c r="D96" s="128">
        <v>350</v>
      </c>
    </row>
    <row r="97" spans="3:4" ht="15" customHeight="1" x14ac:dyDescent="0.3">
      <c r="C97" s="131" t="s">
        <v>168</v>
      </c>
      <c r="D97" s="128">
        <v>350</v>
      </c>
    </row>
    <row r="98" spans="3:4" ht="15" customHeight="1" x14ac:dyDescent="0.3">
      <c r="C98" s="129">
        <v>41</v>
      </c>
      <c r="D98" s="128">
        <v>350</v>
      </c>
    </row>
    <row r="99" spans="3:4" ht="15" customHeight="1" x14ac:dyDescent="0.3">
      <c r="C99" s="130" t="s">
        <v>169</v>
      </c>
      <c r="D99" s="128">
        <v>350</v>
      </c>
    </row>
    <row r="100" spans="3:4" ht="15" customHeight="1" x14ac:dyDescent="0.3">
      <c r="C100" s="131" t="s">
        <v>168</v>
      </c>
      <c r="D100" s="128">
        <v>350</v>
      </c>
    </row>
    <row r="101" spans="3:4" ht="15" customHeight="1" x14ac:dyDescent="0.3">
      <c r="C101" s="129">
        <v>28</v>
      </c>
      <c r="D101" s="128">
        <v>350</v>
      </c>
    </row>
    <row r="102" spans="3:4" ht="15" customHeight="1" x14ac:dyDescent="0.3">
      <c r="C102" s="130" t="s">
        <v>169</v>
      </c>
      <c r="D102" s="128">
        <v>350</v>
      </c>
    </row>
    <row r="103" spans="3:4" ht="15" customHeight="1" x14ac:dyDescent="0.3">
      <c r="C103" s="131" t="s">
        <v>168</v>
      </c>
      <c r="D103" s="128">
        <v>350</v>
      </c>
    </row>
    <row r="104" spans="3:4" ht="15" customHeight="1" x14ac:dyDescent="0.3">
      <c r="C104" s="129">
        <v>43</v>
      </c>
      <c r="D104" s="128">
        <v>350</v>
      </c>
    </row>
    <row r="105" spans="3:4" ht="15" customHeight="1" x14ac:dyDescent="0.3">
      <c r="C105" s="130" t="s">
        <v>169</v>
      </c>
      <c r="D105" s="128">
        <v>350</v>
      </c>
    </row>
    <row r="106" spans="3:4" ht="15" customHeight="1" x14ac:dyDescent="0.3">
      <c r="C106" s="131" t="s">
        <v>168</v>
      </c>
      <c r="D106" s="128">
        <v>350</v>
      </c>
    </row>
    <row r="107" spans="3:4" ht="15" customHeight="1" x14ac:dyDescent="0.3">
      <c r="C107" s="129">
        <v>31</v>
      </c>
      <c r="D107" s="128">
        <v>350</v>
      </c>
    </row>
    <row r="108" spans="3:4" ht="15" customHeight="1" x14ac:dyDescent="0.3">
      <c r="C108" s="130" t="s">
        <v>169</v>
      </c>
      <c r="D108" s="128">
        <v>350</v>
      </c>
    </row>
    <row r="109" spans="3:4" ht="15" customHeight="1" x14ac:dyDescent="0.3">
      <c r="C109" s="131" t="s">
        <v>168</v>
      </c>
      <c r="D109" s="128">
        <v>350</v>
      </c>
    </row>
    <row r="110" spans="3:4" ht="15" customHeight="1" x14ac:dyDescent="0.3">
      <c r="C110" s="129">
        <v>44</v>
      </c>
      <c r="D110" s="128">
        <v>350</v>
      </c>
    </row>
    <row r="111" spans="3:4" ht="15" customHeight="1" x14ac:dyDescent="0.3">
      <c r="C111" s="130" t="s">
        <v>169</v>
      </c>
      <c r="D111" s="128">
        <v>350</v>
      </c>
    </row>
    <row r="112" spans="3:4" ht="15" customHeight="1" x14ac:dyDescent="0.3">
      <c r="C112" s="131" t="s">
        <v>168</v>
      </c>
      <c r="D112" s="128">
        <v>350</v>
      </c>
    </row>
    <row r="113" spans="3:4" ht="15" customHeight="1" x14ac:dyDescent="0.3">
      <c r="C113" s="129">
        <v>6</v>
      </c>
      <c r="D113" s="128">
        <v>350</v>
      </c>
    </row>
    <row r="114" spans="3:4" ht="15" customHeight="1" x14ac:dyDescent="0.3">
      <c r="C114" s="130" t="s">
        <v>167</v>
      </c>
      <c r="D114" s="128">
        <v>350</v>
      </c>
    </row>
    <row r="115" spans="3:4" ht="15" customHeight="1" x14ac:dyDescent="0.3">
      <c r="C115" s="131" t="s">
        <v>168</v>
      </c>
      <c r="D115" s="128">
        <v>350</v>
      </c>
    </row>
    <row r="116" spans="3:4" ht="15" customHeight="1" x14ac:dyDescent="0.3">
      <c r="C116" s="129">
        <v>45</v>
      </c>
      <c r="D116" s="128">
        <v>350</v>
      </c>
    </row>
    <row r="117" spans="3:4" ht="15" customHeight="1" x14ac:dyDescent="0.3">
      <c r="C117" s="130" t="s">
        <v>169</v>
      </c>
      <c r="D117" s="128">
        <v>350</v>
      </c>
    </row>
    <row r="118" spans="3:4" ht="15" customHeight="1" x14ac:dyDescent="0.3">
      <c r="C118" s="131" t="s">
        <v>168</v>
      </c>
      <c r="D118" s="128">
        <v>350</v>
      </c>
    </row>
    <row r="119" spans="3:4" ht="15" customHeight="1" x14ac:dyDescent="0.3">
      <c r="C119" s="129">
        <v>11</v>
      </c>
      <c r="D119" s="128">
        <v>350</v>
      </c>
    </row>
    <row r="120" spans="3:4" ht="15" customHeight="1" x14ac:dyDescent="0.3">
      <c r="C120" s="130" t="s">
        <v>167</v>
      </c>
      <c r="D120" s="128">
        <v>350</v>
      </c>
    </row>
    <row r="121" spans="3:4" ht="15" customHeight="1" x14ac:dyDescent="0.3">
      <c r="C121" s="131" t="s">
        <v>168</v>
      </c>
      <c r="D121" s="128">
        <v>350</v>
      </c>
    </row>
    <row r="122" spans="3:4" ht="15" customHeight="1" x14ac:dyDescent="0.3">
      <c r="C122" s="129">
        <v>46</v>
      </c>
      <c r="D122" s="128">
        <v>350</v>
      </c>
    </row>
    <row r="123" spans="3:4" ht="15" customHeight="1" x14ac:dyDescent="0.3">
      <c r="C123" s="130" t="s">
        <v>169</v>
      </c>
      <c r="D123" s="128">
        <v>350</v>
      </c>
    </row>
    <row r="124" spans="3:4" ht="15" customHeight="1" x14ac:dyDescent="0.3">
      <c r="C124" s="131" t="s">
        <v>168</v>
      </c>
      <c r="D124" s="128">
        <v>350</v>
      </c>
    </row>
    <row r="125" spans="3:4" ht="15" customHeight="1" x14ac:dyDescent="0.3">
      <c r="C125" s="129">
        <v>23</v>
      </c>
      <c r="D125" s="128">
        <v>350</v>
      </c>
    </row>
    <row r="126" spans="3:4" ht="15" customHeight="1" x14ac:dyDescent="0.3">
      <c r="C126" s="130" t="s">
        <v>169</v>
      </c>
      <c r="D126" s="128">
        <v>350</v>
      </c>
    </row>
    <row r="127" spans="3:4" ht="15" customHeight="1" x14ac:dyDescent="0.3">
      <c r="C127" s="131" t="s">
        <v>168</v>
      </c>
      <c r="D127" s="128">
        <v>350</v>
      </c>
    </row>
    <row r="128" spans="3:4" ht="15" customHeight="1" x14ac:dyDescent="0.3">
      <c r="C128" s="129">
        <v>47</v>
      </c>
      <c r="D128" s="128">
        <v>350</v>
      </c>
    </row>
    <row r="129" spans="3:4" ht="15" customHeight="1" x14ac:dyDescent="0.3">
      <c r="C129" s="130" t="s">
        <v>169</v>
      </c>
      <c r="D129" s="128">
        <v>350</v>
      </c>
    </row>
    <row r="130" spans="3:4" ht="15" customHeight="1" x14ac:dyDescent="0.3">
      <c r="C130" s="131" t="s">
        <v>168</v>
      </c>
      <c r="D130" s="128">
        <v>350</v>
      </c>
    </row>
    <row r="131" spans="3:4" ht="15" customHeight="1" x14ac:dyDescent="0.3">
      <c r="C131" s="129">
        <v>27</v>
      </c>
      <c r="D131" s="128">
        <v>350</v>
      </c>
    </row>
    <row r="132" spans="3:4" ht="15" customHeight="1" x14ac:dyDescent="0.3">
      <c r="C132" s="130" t="s">
        <v>169</v>
      </c>
      <c r="D132" s="128">
        <v>350</v>
      </c>
    </row>
    <row r="133" spans="3:4" ht="15" customHeight="1" x14ac:dyDescent="0.3">
      <c r="C133" s="131" t="s">
        <v>168</v>
      </c>
      <c r="D133" s="128">
        <v>350</v>
      </c>
    </row>
    <row r="134" spans="3:4" ht="15" customHeight="1" x14ac:dyDescent="0.3">
      <c r="C134" s="129">
        <v>48</v>
      </c>
      <c r="D134" s="128">
        <v>350</v>
      </c>
    </row>
    <row r="135" spans="3:4" ht="15" customHeight="1" x14ac:dyDescent="0.3">
      <c r="C135" s="130" t="s">
        <v>169</v>
      </c>
      <c r="D135" s="128">
        <v>350</v>
      </c>
    </row>
    <row r="136" spans="3:4" ht="15" customHeight="1" x14ac:dyDescent="0.3">
      <c r="C136" s="131" t="s">
        <v>168</v>
      </c>
      <c r="D136" s="128">
        <v>350</v>
      </c>
    </row>
    <row r="137" spans="3:4" ht="15" customHeight="1" x14ac:dyDescent="0.3">
      <c r="C137" s="129">
        <v>4</v>
      </c>
      <c r="D137" s="128">
        <v>350</v>
      </c>
    </row>
    <row r="138" spans="3:4" ht="15" customHeight="1" x14ac:dyDescent="0.3">
      <c r="C138" s="130" t="s">
        <v>167</v>
      </c>
      <c r="D138" s="128">
        <v>350</v>
      </c>
    </row>
    <row r="139" spans="3:4" ht="15" customHeight="1" x14ac:dyDescent="0.3">
      <c r="C139" s="131" t="s">
        <v>168</v>
      </c>
      <c r="D139" s="128">
        <v>350</v>
      </c>
    </row>
    <row r="140" spans="3:4" ht="15" customHeight="1" x14ac:dyDescent="0.3">
      <c r="C140" s="129">
        <v>49</v>
      </c>
      <c r="D140" s="128">
        <v>350</v>
      </c>
    </row>
    <row r="141" spans="3:4" ht="15" customHeight="1" x14ac:dyDescent="0.3">
      <c r="C141" s="130" t="s">
        <v>169</v>
      </c>
      <c r="D141" s="128">
        <v>350</v>
      </c>
    </row>
    <row r="142" spans="3:4" ht="15" customHeight="1" x14ac:dyDescent="0.3">
      <c r="C142" s="131" t="s">
        <v>168</v>
      </c>
      <c r="D142" s="128">
        <v>350</v>
      </c>
    </row>
    <row r="143" spans="3:4" ht="15" customHeight="1" x14ac:dyDescent="0.3">
      <c r="C143" s="129">
        <v>19</v>
      </c>
      <c r="D143" s="128">
        <v>350</v>
      </c>
    </row>
    <row r="144" spans="3:4" ht="15" customHeight="1" x14ac:dyDescent="0.3">
      <c r="C144" s="130" t="s">
        <v>169</v>
      </c>
      <c r="D144" s="128">
        <v>350</v>
      </c>
    </row>
    <row r="145" spans="3:4" ht="15" customHeight="1" x14ac:dyDescent="0.3">
      <c r="C145" s="131" t="s">
        <v>168</v>
      </c>
      <c r="D145" s="128">
        <v>350</v>
      </c>
    </row>
    <row r="146" spans="3:4" ht="15" customHeight="1" x14ac:dyDescent="0.3">
      <c r="C146" s="129">
        <v>50</v>
      </c>
      <c r="D146" s="128">
        <v>350</v>
      </c>
    </row>
    <row r="147" spans="3:4" ht="15" customHeight="1" x14ac:dyDescent="0.3">
      <c r="C147" s="130" t="s">
        <v>169</v>
      </c>
      <c r="D147" s="128">
        <v>350</v>
      </c>
    </row>
    <row r="148" spans="3:4" ht="15" customHeight="1" x14ac:dyDescent="0.3">
      <c r="C148" s="131" t="s">
        <v>168</v>
      </c>
      <c r="D148" s="128">
        <v>350</v>
      </c>
    </row>
    <row r="149" spans="3:4" ht="15" customHeight="1" x14ac:dyDescent="0.3">
      <c r="C149" s="129">
        <v>29</v>
      </c>
      <c r="D149" s="128">
        <v>350</v>
      </c>
    </row>
    <row r="150" spans="3:4" ht="15" customHeight="1" x14ac:dyDescent="0.3">
      <c r="C150" s="130" t="s">
        <v>169</v>
      </c>
      <c r="D150" s="128">
        <v>350</v>
      </c>
    </row>
    <row r="151" spans="3:4" ht="15" customHeight="1" x14ac:dyDescent="0.3">
      <c r="C151" s="131" t="s">
        <v>168</v>
      </c>
      <c r="D151" s="128">
        <v>350</v>
      </c>
    </row>
    <row r="152" spans="3:4" ht="15" customHeight="1" x14ac:dyDescent="0.3">
      <c r="C152" s="129">
        <v>51</v>
      </c>
      <c r="D152" s="128">
        <v>350</v>
      </c>
    </row>
    <row r="153" spans="3:4" ht="15" customHeight="1" x14ac:dyDescent="0.3">
      <c r="C153" s="130" t="s">
        <v>169</v>
      </c>
      <c r="D153" s="128">
        <v>350</v>
      </c>
    </row>
    <row r="154" spans="3:4" ht="15" customHeight="1" x14ac:dyDescent="0.3">
      <c r="C154" s="131" t="s">
        <v>168</v>
      </c>
      <c r="D154" s="128">
        <v>350</v>
      </c>
    </row>
    <row r="155" spans="3:4" ht="15" customHeight="1" x14ac:dyDescent="0.3">
      <c r="C155" s="129">
        <v>25</v>
      </c>
      <c r="D155" s="128">
        <v>350</v>
      </c>
    </row>
    <row r="156" spans="3:4" ht="15" customHeight="1" x14ac:dyDescent="0.3">
      <c r="C156" s="130" t="s">
        <v>169</v>
      </c>
      <c r="D156" s="128">
        <v>350</v>
      </c>
    </row>
    <row r="157" spans="3:4" ht="15" customHeight="1" x14ac:dyDescent="0.3">
      <c r="C157" s="131" t="s">
        <v>168</v>
      </c>
      <c r="D157" s="128">
        <v>350</v>
      </c>
    </row>
    <row r="158" spans="3:4" ht="15" customHeight="1" x14ac:dyDescent="0.3">
      <c r="C158" s="129">
        <v>52</v>
      </c>
      <c r="D158" s="128">
        <v>350</v>
      </c>
    </row>
    <row r="159" spans="3:4" ht="15" customHeight="1" x14ac:dyDescent="0.3">
      <c r="C159" s="130" t="s">
        <v>169</v>
      </c>
      <c r="D159" s="128">
        <v>350</v>
      </c>
    </row>
    <row r="160" spans="3:4" ht="15" customHeight="1" x14ac:dyDescent="0.3">
      <c r="C160" s="131" t="s">
        <v>168</v>
      </c>
      <c r="D160" s="128">
        <v>350</v>
      </c>
    </row>
    <row r="161" spans="3:4" ht="15" customHeight="1" x14ac:dyDescent="0.3">
      <c r="C161" s="129">
        <v>9</v>
      </c>
      <c r="D161" s="128">
        <v>350</v>
      </c>
    </row>
    <row r="162" spans="3:4" ht="15" customHeight="1" x14ac:dyDescent="0.3">
      <c r="C162" s="130" t="s">
        <v>167</v>
      </c>
      <c r="D162" s="128">
        <v>350</v>
      </c>
    </row>
    <row r="163" spans="3:4" ht="15" customHeight="1" x14ac:dyDescent="0.3">
      <c r="C163" s="131" t="s">
        <v>168</v>
      </c>
      <c r="D163" s="128">
        <v>350</v>
      </c>
    </row>
    <row r="164" spans="3:4" ht="15" customHeight="1" x14ac:dyDescent="0.3">
      <c r="C164" s="129">
        <v>54</v>
      </c>
      <c r="D164" s="128">
        <v>350</v>
      </c>
    </row>
    <row r="165" spans="3:4" ht="15" customHeight="1" x14ac:dyDescent="0.3">
      <c r="C165" s="130" t="s">
        <v>169</v>
      </c>
      <c r="D165" s="128">
        <v>350</v>
      </c>
    </row>
    <row r="166" spans="3:4" ht="15" customHeight="1" x14ac:dyDescent="0.3">
      <c r="C166" s="131" t="s">
        <v>168</v>
      </c>
      <c r="D166" s="128">
        <v>350</v>
      </c>
    </row>
    <row r="167" spans="3:4" ht="15" customHeight="1" x14ac:dyDescent="0.3">
      <c r="C167" s="129">
        <v>86</v>
      </c>
      <c r="D167" s="128">
        <v>400</v>
      </c>
    </row>
    <row r="168" spans="3:4" ht="15" customHeight="1" x14ac:dyDescent="0.3">
      <c r="C168" s="130" t="s">
        <v>169</v>
      </c>
      <c r="D168" s="128">
        <v>400</v>
      </c>
    </row>
    <row r="169" spans="3:4" ht="15" customHeight="1" x14ac:dyDescent="0.3">
      <c r="C169" s="131" t="s">
        <v>170</v>
      </c>
      <c r="D169" s="128">
        <v>400</v>
      </c>
    </row>
    <row r="170" spans="3:4" ht="15" customHeight="1" x14ac:dyDescent="0.3">
      <c r="C170" s="129">
        <v>107</v>
      </c>
      <c r="D170" s="128">
        <v>400</v>
      </c>
    </row>
    <row r="171" spans="3:4" ht="15" customHeight="1" x14ac:dyDescent="0.3">
      <c r="C171" s="130" t="s">
        <v>169</v>
      </c>
      <c r="D171" s="128">
        <v>400</v>
      </c>
    </row>
    <row r="172" spans="3:4" ht="15" customHeight="1" x14ac:dyDescent="0.3">
      <c r="C172" s="131" t="s">
        <v>170</v>
      </c>
      <c r="D172" s="128">
        <v>400</v>
      </c>
    </row>
    <row r="173" spans="3:4" ht="15" customHeight="1" x14ac:dyDescent="0.3">
      <c r="C173" s="129">
        <v>108</v>
      </c>
      <c r="D173" s="128">
        <v>400</v>
      </c>
    </row>
    <row r="174" spans="3:4" ht="15" customHeight="1" x14ac:dyDescent="0.3">
      <c r="C174" s="130" t="s">
        <v>169</v>
      </c>
      <c r="D174" s="128">
        <v>400</v>
      </c>
    </row>
    <row r="175" spans="3:4" ht="15" customHeight="1" x14ac:dyDescent="0.3">
      <c r="C175" s="131" t="s">
        <v>170</v>
      </c>
      <c r="D175" s="128">
        <v>400</v>
      </c>
    </row>
    <row r="176" spans="3:4" ht="15" customHeight="1" x14ac:dyDescent="0.3">
      <c r="C176" s="129">
        <v>63</v>
      </c>
      <c r="D176" s="128">
        <v>400</v>
      </c>
    </row>
    <row r="177" spans="3:4" ht="15" customHeight="1" x14ac:dyDescent="0.3">
      <c r="C177" s="130" t="s">
        <v>169</v>
      </c>
      <c r="D177" s="128">
        <v>400</v>
      </c>
    </row>
    <row r="178" spans="3:4" ht="15" customHeight="1" x14ac:dyDescent="0.3">
      <c r="C178" s="131" t="s">
        <v>170</v>
      </c>
      <c r="D178" s="128">
        <v>400</v>
      </c>
    </row>
    <row r="179" spans="3:4" ht="15" customHeight="1" x14ac:dyDescent="0.3">
      <c r="C179" s="129">
        <v>109</v>
      </c>
      <c r="D179" s="128">
        <v>400</v>
      </c>
    </row>
    <row r="180" spans="3:4" ht="15" customHeight="1" x14ac:dyDescent="0.3">
      <c r="C180" s="130" t="s">
        <v>169</v>
      </c>
      <c r="D180" s="128">
        <v>400</v>
      </c>
    </row>
    <row r="181" spans="3:4" ht="15" customHeight="1" x14ac:dyDescent="0.3">
      <c r="C181" s="131" t="s">
        <v>170</v>
      </c>
      <c r="D181" s="128">
        <v>400</v>
      </c>
    </row>
    <row r="182" spans="3:4" ht="15" customHeight="1" x14ac:dyDescent="0.3">
      <c r="C182" s="129">
        <v>65</v>
      </c>
      <c r="D182" s="128">
        <v>400</v>
      </c>
    </row>
    <row r="183" spans="3:4" ht="15" customHeight="1" x14ac:dyDescent="0.3">
      <c r="C183" s="130" t="s">
        <v>169</v>
      </c>
      <c r="D183" s="128">
        <v>400</v>
      </c>
    </row>
    <row r="184" spans="3:4" ht="15" customHeight="1" x14ac:dyDescent="0.3">
      <c r="C184" s="131" t="s">
        <v>170</v>
      </c>
      <c r="D184" s="128">
        <v>400</v>
      </c>
    </row>
    <row r="185" spans="3:4" ht="15" customHeight="1" x14ac:dyDescent="0.3">
      <c r="C185" s="129">
        <v>110</v>
      </c>
      <c r="D185" s="128">
        <v>400</v>
      </c>
    </row>
    <row r="186" spans="3:4" ht="15" customHeight="1" x14ac:dyDescent="0.3">
      <c r="C186" s="130" t="s">
        <v>169</v>
      </c>
      <c r="D186" s="128">
        <v>400</v>
      </c>
    </row>
    <row r="187" spans="3:4" ht="15" customHeight="1" x14ac:dyDescent="0.3">
      <c r="C187" s="131" t="s">
        <v>170</v>
      </c>
      <c r="D187" s="128">
        <v>400</v>
      </c>
    </row>
    <row r="188" spans="3:4" ht="15" customHeight="1" x14ac:dyDescent="0.3">
      <c r="C188" s="129">
        <v>67</v>
      </c>
      <c r="D188" s="128">
        <v>400</v>
      </c>
    </row>
    <row r="189" spans="3:4" ht="15" customHeight="1" x14ac:dyDescent="0.3">
      <c r="C189" s="130" t="s">
        <v>169</v>
      </c>
      <c r="D189" s="128">
        <v>400</v>
      </c>
    </row>
    <row r="190" spans="3:4" ht="15" customHeight="1" x14ac:dyDescent="0.3">
      <c r="C190" s="131" t="s">
        <v>170</v>
      </c>
      <c r="D190" s="128">
        <v>400</v>
      </c>
    </row>
    <row r="191" spans="3:4" ht="15" customHeight="1" x14ac:dyDescent="0.3">
      <c r="C191" s="129">
        <v>111</v>
      </c>
      <c r="D191" s="128">
        <v>400</v>
      </c>
    </row>
    <row r="192" spans="3:4" ht="15" customHeight="1" x14ac:dyDescent="0.3">
      <c r="C192" s="130" t="s">
        <v>169</v>
      </c>
      <c r="D192" s="128">
        <v>400</v>
      </c>
    </row>
    <row r="193" spans="3:4" ht="15" customHeight="1" x14ac:dyDescent="0.3">
      <c r="C193" s="131" t="s">
        <v>170</v>
      </c>
      <c r="D193" s="128">
        <v>400</v>
      </c>
    </row>
    <row r="194" spans="3:4" ht="15" customHeight="1" x14ac:dyDescent="0.3">
      <c r="C194" s="129">
        <v>69</v>
      </c>
      <c r="D194" s="128">
        <v>400</v>
      </c>
    </row>
    <row r="195" spans="3:4" ht="15" customHeight="1" x14ac:dyDescent="0.3">
      <c r="C195" s="130" t="s">
        <v>169</v>
      </c>
      <c r="D195" s="128">
        <v>400</v>
      </c>
    </row>
    <row r="196" spans="3:4" ht="15" customHeight="1" x14ac:dyDescent="0.3">
      <c r="C196" s="131" t="s">
        <v>170</v>
      </c>
      <c r="D196" s="128">
        <v>400</v>
      </c>
    </row>
    <row r="197" spans="3:4" ht="15" customHeight="1" x14ac:dyDescent="0.3">
      <c r="C197" s="129">
        <v>112</v>
      </c>
      <c r="D197" s="128">
        <v>400</v>
      </c>
    </row>
    <row r="198" spans="3:4" ht="15" customHeight="1" x14ac:dyDescent="0.3">
      <c r="C198" s="130" t="s">
        <v>169</v>
      </c>
      <c r="D198" s="128">
        <v>400</v>
      </c>
    </row>
    <row r="199" spans="3:4" ht="15" customHeight="1" x14ac:dyDescent="0.3">
      <c r="C199" s="131" t="s">
        <v>170</v>
      </c>
      <c r="D199" s="128">
        <v>400</v>
      </c>
    </row>
    <row r="200" spans="3:4" ht="15" customHeight="1" x14ac:dyDescent="0.3">
      <c r="C200" s="129">
        <v>73</v>
      </c>
      <c r="D200" s="128">
        <v>400</v>
      </c>
    </row>
    <row r="201" spans="3:4" ht="15" customHeight="1" x14ac:dyDescent="0.3">
      <c r="C201" s="130" t="s">
        <v>169</v>
      </c>
      <c r="D201" s="128">
        <v>400</v>
      </c>
    </row>
    <row r="202" spans="3:4" ht="15" customHeight="1" x14ac:dyDescent="0.3">
      <c r="C202" s="131" t="s">
        <v>170</v>
      </c>
      <c r="D202" s="128">
        <v>400</v>
      </c>
    </row>
    <row r="203" spans="3:4" ht="15" customHeight="1" x14ac:dyDescent="0.3">
      <c r="C203" s="129">
        <v>113</v>
      </c>
      <c r="D203" s="128">
        <v>400</v>
      </c>
    </row>
    <row r="204" spans="3:4" ht="15" customHeight="1" x14ac:dyDescent="0.3">
      <c r="C204" s="130" t="s">
        <v>169</v>
      </c>
      <c r="D204" s="128">
        <v>400</v>
      </c>
    </row>
    <row r="205" spans="3:4" ht="15" customHeight="1" x14ac:dyDescent="0.3">
      <c r="C205" s="131" t="s">
        <v>170</v>
      </c>
      <c r="D205" s="128">
        <v>400</v>
      </c>
    </row>
    <row r="206" spans="3:4" ht="15" customHeight="1" x14ac:dyDescent="0.3">
      <c r="C206" s="129">
        <v>76</v>
      </c>
      <c r="D206" s="128">
        <v>400</v>
      </c>
    </row>
    <row r="207" spans="3:4" ht="15" customHeight="1" x14ac:dyDescent="0.3">
      <c r="C207" s="130" t="s">
        <v>169</v>
      </c>
      <c r="D207" s="128">
        <v>400</v>
      </c>
    </row>
    <row r="208" spans="3:4" ht="15" customHeight="1" x14ac:dyDescent="0.3">
      <c r="C208" s="131" t="s">
        <v>170</v>
      </c>
      <c r="D208" s="128">
        <v>400</v>
      </c>
    </row>
    <row r="209" spans="3:4" ht="15" customHeight="1" x14ac:dyDescent="0.3">
      <c r="C209" s="129">
        <v>114</v>
      </c>
      <c r="D209" s="128">
        <v>400</v>
      </c>
    </row>
    <row r="210" spans="3:4" ht="15" customHeight="1" x14ac:dyDescent="0.3">
      <c r="C210" s="130" t="s">
        <v>169</v>
      </c>
      <c r="D210" s="128">
        <v>400</v>
      </c>
    </row>
    <row r="211" spans="3:4" ht="15" customHeight="1" x14ac:dyDescent="0.3">
      <c r="C211" s="131" t="s">
        <v>170</v>
      </c>
      <c r="D211" s="128">
        <v>400</v>
      </c>
    </row>
    <row r="212" spans="3:4" ht="15" customHeight="1" x14ac:dyDescent="0.3">
      <c r="C212" s="129">
        <v>78</v>
      </c>
      <c r="D212" s="128">
        <v>400</v>
      </c>
    </row>
    <row r="213" spans="3:4" ht="15" customHeight="1" x14ac:dyDescent="0.3">
      <c r="C213" s="130" t="s">
        <v>169</v>
      </c>
      <c r="D213" s="128">
        <v>400</v>
      </c>
    </row>
    <row r="214" spans="3:4" ht="15" customHeight="1" x14ac:dyDescent="0.3">
      <c r="C214" s="131" t="s">
        <v>170</v>
      </c>
      <c r="D214" s="128">
        <v>400</v>
      </c>
    </row>
    <row r="215" spans="3:4" ht="15" customHeight="1" x14ac:dyDescent="0.3">
      <c r="C215" s="129">
        <v>115</v>
      </c>
      <c r="D215" s="128">
        <v>400</v>
      </c>
    </row>
    <row r="216" spans="3:4" ht="15" customHeight="1" x14ac:dyDescent="0.3">
      <c r="C216" s="130" t="s">
        <v>169</v>
      </c>
      <c r="D216" s="128">
        <v>400</v>
      </c>
    </row>
    <row r="217" spans="3:4" ht="15" customHeight="1" x14ac:dyDescent="0.3">
      <c r="C217" s="131" t="s">
        <v>170</v>
      </c>
      <c r="D217" s="128">
        <v>400</v>
      </c>
    </row>
    <row r="218" spans="3:4" ht="15" customHeight="1" x14ac:dyDescent="0.3">
      <c r="C218" s="129">
        <v>80</v>
      </c>
      <c r="D218" s="128">
        <v>400</v>
      </c>
    </row>
    <row r="219" spans="3:4" ht="15" customHeight="1" x14ac:dyDescent="0.3">
      <c r="C219" s="130" t="s">
        <v>169</v>
      </c>
      <c r="D219" s="128">
        <v>400</v>
      </c>
    </row>
    <row r="220" spans="3:4" ht="15" customHeight="1" x14ac:dyDescent="0.3">
      <c r="C220" s="131" t="s">
        <v>170</v>
      </c>
      <c r="D220" s="128">
        <v>400</v>
      </c>
    </row>
    <row r="221" spans="3:4" ht="15" customHeight="1" x14ac:dyDescent="0.3">
      <c r="C221" s="129">
        <v>116</v>
      </c>
      <c r="D221" s="128">
        <v>400</v>
      </c>
    </row>
    <row r="222" spans="3:4" ht="15" customHeight="1" x14ac:dyDescent="0.3">
      <c r="C222" s="130" t="s">
        <v>169</v>
      </c>
      <c r="D222" s="128">
        <v>400</v>
      </c>
    </row>
    <row r="223" spans="3:4" ht="15" customHeight="1" x14ac:dyDescent="0.3">
      <c r="C223" s="131" t="s">
        <v>170</v>
      </c>
      <c r="D223" s="128">
        <v>400</v>
      </c>
    </row>
    <row r="224" spans="3:4" ht="15" customHeight="1" x14ac:dyDescent="0.3">
      <c r="C224" s="129">
        <v>82</v>
      </c>
      <c r="D224" s="128">
        <v>400</v>
      </c>
    </row>
    <row r="225" spans="3:4" ht="15" customHeight="1" x14ac:dyDescent="0.3">
      <c r="C225" s="130" t="s">
        <v>169</v>
      </c>
      <c r="D225" s="128">
        <v>400</v>
      </c>
    </row>
    <row r="226" spans="3:4" ht="15" customHeight="1" x14ac:dyDescent="0.3">
      <c r="C226" s="131" t="s">
        <v>170</v>
      </c>
      <c r="D226" s="128">
        <v>400</v>
      </c>
    </row>
    <row r="227" spans="3:4" ht="15" customHeight="1" x14ac:dyDescent="0.3">
      <c r="C227" s="129">
        <v>117</v>
      </c>
      <c r="D227" s="128">
        <v>400</v>
      </c>
    </row>
    <row r="228" spans="3:4" ht="15" customHeight="1" x14ac:dyDescent="0.3">
      <c r="C228" s="130" t="s">
        <v>169</v>
      </c>
      <c r="D228" s="128">
        <v>400</v>
      </c>
    </row>
    <row r="229" spans="3:4" ht="15" customHeight="1" x14ac:dyDescent="0.3">
      <c r="C229" s="131" t="s">
        <v>170</v>
      </c>
      <c r="D229" s="128">
        <v>400</v>
      </c>
    </row>
    <row r="230" spans="3:4" ht="15" customHeight="1" x14ac:dyDescent="0.3">
      <c r="C230" s="129">
        <v>84</v>
      </c>
      <c r="D230" s="128">
        <v>400</v>
      </c>
    </row>
    <row r="231" spans="3:4" ht="15" customHeight="1" x14ac:dyDescent="0.3">
      <c r="C231" s="130" t="s">
        <v>169</v>
      </c>
      <c r="D231" s="128">
        <v>400</v>
      </c>
    </row>
    <row r="232" spans="3:4" ht="15" customHeight="1" x14ac:dyDescent="0.3">
      <c r="C232" s="131" t="s">
        <v>170</v>
      </c>
      <c r="D232" s="128">
        <v>400</v>
      </c>
    </row>
    <row r="233" spans="3:4" ht="15" customHeight="1" x14ac:dyDescent="0.3">
      <c r="C233" s="129">
        <v>118</v>
      </c>
      <c r="D233" s="128">
        <v>400</v>
      </c>
    </row>
    <row r="234" spans="3:4" ht="15" customHeight="1" x14ac:dyDescent="0.3">
      <c r="C234" s="130" t="s">
        <v>169</v>
      </c>
      <c r="D234" s="128">
        <v>400</v>
      </c>
    </row>
    <row r="235" spans="3:4" ht="15" customHeight="1" x14ac:dyDescent="0.3">
      <c r="C235" s="131" t="s">
        <v>170</v>
      </c>
      <c r="D235" s="128">
        <v>400</v>
      </c>
    </row>
    <row r="236" spans="3:4" ht="15" customHeight="1" x14ac:dyDescent="0.3">
      <c r="C236" s="129">
        <v>60</v>
      </c>
      <c r="D236" s="128">
        <v>400</v>
      </c>
    </row>
    <row r="237" spans="3:4" ht="15" customHeight="1" x14ac:dyDescent="0.3">
      <c r="C237" s="130" t="s">
        <v>169</v>
      </c>
      <c r="D237" s="128">
        <v>400</v>
      </c>
    </row>
    <row r="238" spans="3:4" ht="15" customHeight="1" x14ac:dyDescent="0.3">
      <c r="C238" s="131" t="s">
        <v>170</v>
      </c>
      <c r="D238" s="128">
        <v>400</v>
      </c>
    </row>
    <row r="239" spans="3:4" ht="15" customHeight="1" x14ac:dyDescent="0.3">
      <c r="C239" s="129">
        <v>119</v>
      </c>
      <c r="D239" s="128">
        <v>400</v>
      </c>
    </row>
    <row r="240" spans="3:4" ht="15" customHeight="1" x14ac:dyDescent="0.3">
      <c r="C240" s="130" t="s">
        <v>169</v>
      </c>
      <c r="D240" s="128">
        <v>400</v>
      </c>
    </row>
    <row r="241" spans="3:4" ht="15" customHeight="1" x14ac:dyDescent="0.3">
      <c r="C241" s="131" t="s">
        <v>170</v>
      </c>
      <c r="D241" s="128">
        <v>400</v>
      </c>
    </row>
    <row r="242" spans="3:4" ht="15" customHeight="1" x14ac:dyDescent="0.3">
      <c r="C242" s="129">
        <v>90</v>
      </c>
      <c r="D242" s="128">
        <v>400</v>
      </c>
    </row>
    <row r="243" spans="3:4" ht="15" customHeight="1" x14ac:dyDescent="0.3">
      <c r="C243" s="130" t="s">
        <v>169</v>
      </c>
      <c r="D243" s="128">
        <v>400</v>
      </c>
    </row>
    <row r="244" spans="3:4" ht="15" customHeight="1" x14ac:dyDescent="0.3">
      <c r="C244" s="131" t="s">
        <v>170</v>
      </c>
      <c r="D244" s="128">
        <v>400</v>
      </c>
    </row>
    <row r="245" spans="3:4" ht="15" customHeight="1" x14ac:dyDescent="0.3">
      <c r="C245" s="129">
        <v>120</v>
      </c>
      <c r="D245" s="128">
        <v>400</v>
      </c>
    </row>
    <row r="246" spans="3:4" ht="15" customHeight="1" x14ac:dyDescent="0.3">
      <c r="C246" s="130" t="s">
        <v>169</v>
      </c>
      <c r="D246" s="128">
        <v>400</v>
      </c>
    </row>
    <row r="247" spans="3:4" ht="15" customHeight="1" x14ac:dyDescent="0.3">
      <c r="C247" s="131" t="s">
        <v>170</v>
      </c>
      <c r="D247" s="128">
        <v>400</v>
      </c>
    </row>
    <row r="248" spans="3:4" ht="15" customHeight="1" x14ac:dyDescent="0.3">
      <c r="C248" s="129">
        <v>92</v>
      </c>
      <c r="D248" s="128">
        <v>400</v>
      </c>
    </row>
    <row r="249" spans="3:4" ht="15" customHeight="1" x14ac:dyDescent="0.3">
      <c r="C249" s="130" t="s">
        <v>169</v>
      </c>
      <c r="D249" s="128">
        <v>400</v>
      </c>
    </row>
    <row r="250" spans="3:4" ht="15" customHeight="1" x14ac:dyDescent="0.3">
      <c r="C250" s="131" t="s">
        <v>170</v>
      </c>
      <c r="D250" s="128">
        <v>400</v>
      </c>
    </row>
    <row r="251" spans="3:4" ht="15" customHeight="1" x14ac:dyDescent="0.3">
      <c r="C251" s="129">
        <v>121</v>
      </c>
      <c r="D251" s="128">
        <v>400</v>
      </c>
    </row>
    <row r="252" spans="3:4" ht="15" customHeight="1" x14ac:dyDescent="0.3">
      <c r="C252" s="130" t="s">
        <v>169</v>
      </c>
      <c r="D252" s="128">
        <v>400</v>
      </c>
    </row>
    <row r="253" spans="3:4" ht="15" customHeight="1" x14ac:dyDescent="0.3">
      <c r="C253" s="131" t="s">
        <v>170</v>
      </c>
      <c r="D253" s="128">
        <v>400</v>
      </c>
    </row>
    <row r="254" spans="3:4" ht="15" customHeight="1" x14ac:dyDescent="0.3">
      <c r="C254" s="129">
        <v>94</v>
      </c>
      <c r="D254" s="128">
        <v>400</v>
      </c>
    </row>
    <row r="255" spans="3:4" ht="15" customHeight="1" x14ac:dyDescent="0.3">
      <c r="C255" s="130" t="s">
        <v>169</v>
      </c>
      <c r="D255" s="128">
        <v>400</v>
      </c>
    </row>
    <row r="256" spans="3:4" ht="15" customHeight="1" x14ac:dyDescent="0.3">
      <c r="C256" s="131" t="s">
        <v>170</v>
      </c>
      <c r="D256" s="128">
        <v>400</v>
      </c>
    </row>
    <row r="257" spans="3:4" ht="15" customHeight="1" x14ac:dyDescent="0.3">
      <c r="C257" s="129">
        <v>122</v>
      </c>
      <c r="D257" s="128">
        <v>400</v>
      </c>
    </row>
    <row r="258" spans="3:4" ht="15" customHeight="1" x14ac:dyDescent="0.3">
      <c r="C258" s="130" t="s">
        <v>169</v>
      </c>
      <c r="D258" s="128">
        <v>400</v>
      </c>
    </row>
    <row r="259" spans="3:4" ht="15" customHeight="1" x14ac:dyDescent="0.3">
      <c r="C259" s="131" t="s">
        <v>170</v>
      </c>
      <c r="D259" s="128">
        <v>400</v>
      </c>
    </row>
    <row r="260" spans="3:4" ht="15" customHeight="1" x14ac:dyDescent="0.3">
      <c r="C260" s="129">
        <v>96</v>
      </c>
      <c r="D260" s="128">
        <v>400</v>
      </c>
    </row>
    <row r="261" spans="3:4" ht="15" customHeight="1" x14ac:dyDescent="0.3">
      <c r="C261" s="130" t="s">
        <v>169</v>
      </c>
      <c r="D261" s="128">
        <v>400</v>
      </c>
    </row>
    <row r="262" spans="3:4" ht="15" customHeight="1" x14ac:dyDescent="0.3">
      <c r="C262" s="131" t="s">
        <v>170</v>
      </c>
      <c r="D262" s="128">
        <v>400</v>
      </c>
    </row>
    <row r="263" spans="3:4" ht="15" customHeight="1" x14ac:dyDescent="0.3">
      <c r="C263" s="129">
        <v>123</v>
      </c>
      <c r="D263" s="128">
        <v>400</v>
      </c>
    </row>
    <row r="264" spans="3:4" ht="15" customHeight="1" x14ac:dyDescent="0.3">
      <c r="C264" s="130" t="s">
        <v>169</v>
      </c>
      <c r="D264" s="128">
        <v>400</v>
      </c>
    </row>
    <row r="265" spans="3:4" ht="15" customHeight="1" x14ac:dyDescent="0.3">
      <c r="C265" s="131" t="s">
        <v>170</v>
      </c>
      <c r="D265" s="128">
        <v>400</v>
      </c>
    </row>
    <row r="266" spans="3:4" ht="15" customHeight="1" x14ac:dyDescent="0.3">
      <c r="C266" s="129">
        <v>98</v>
      </c>
      <c r="D266" s="128">
        <v>400</v>
      </c>
    </row>
    <row r="267" spans="3:4" ht="15" customHeight="1" x14ac:dyDescent="0.3">
      <c r="C267" s="130" t="s">
        <v>169</v>
      </c>
      <c r="D267" s="128">
        <v>400</v>
      </c>
    </row>
    <row r="268" spans="3:4" ht="15" customHeight="1" x14ac:dyDescent="0.3">
      <c r="C268" s="131" t="s">
        <v>170</v>
      </c>
      <c r="D268" s="128">
        <v>400</v>
      </c>
    </row>
    <row r="269" spans="3:4" ht="15" customHeight="1" x14ac:dyDescent="0.3">
      <c r="C269" s="129">
        <v>124</v>
      </c>
      <c r="D269" s="128">
        <v>400</v>
      </c>
    </row>
    <row r="270" spans="3:4" ht="15" customHeight="1" x14ac:dyDescent="0.3">
      <c r="C270" s="130" t="s">
        <v>169</v>
      </c>
      <c r="D270" s="128">
        <v>400</v>
      </c>
    </row>
    <row r="271" spans="3:4" ht="15" customHeight="1" x14ac:dyDescent="0.3">
      <c r="C271" s="131" t="s">
        <v>170</v>
      </c>
      <c r="D271" s="128">
        <v>400</v>
      </c>
    </row>
    <row r="272" spans="3:4" ht="15" customHeight="1" x14ac:dyDescent="0.3">
      <c r="C272" s="129">
        <v>100</v>
      </c>
      <c r="D272" s="128">
        <v>400</v>
      </c>
    </row>
    <row r="273" spans="3:4" ht="15" customHeight="1" x14ac:dyDescent="0.3">
      <c r="C273" s="130" t="s">
        <v>169</v>
      </c>
      <c r="D273" s="128">
        <v>400</v>
      </c>
    </row>
    <row r="274" spans="3:4" ht="15" customHeight="1" x14ac:dyDescent="0.3">
      <c r="C274" s="131" t="s">
        <v>170</v>
      </c>
      <c r="D274" s="128">
        <v>400</v>
      </c>
    </row>
    <row r="275" spans="3:4" ht="15" customHeight="1" x14ac:dyDescent="0.3">
      <c r="C275" s="129">
        <v>125</v>
      </c>
      <c r="D275" s="128">
        <v>400</v>
      </c>
    </row>
    <row r="276" spans="3:4" ht="15" customHeight="1" x14ac:dyDescent="0.3">
      <c r="C276" s="130" t="s">
        <v>169</v>
      </c>
      <c r="D276" s="128">
        <v>400</v>
      </c>
    </row>
    <row r="277" spans="3:4" ht="15" customHeight="1" x14ac:dyDescent="0.3">
      <c r="C277" s="131" t="s">
        <v>170</v>
      </c>
      <c r="D277" s="128">
        <v>400</v>
      </c>
    </row>
    <row r="278" spans="3:4" ht="15" customHeight="1" x14ac:dyDescent="0.3">
      <c r="C278" s="129">
        <v>102</v>
      </c>
      <c r="D278" s="128">
        <v>400</v>
      </c>
    </row>
    <row r="279" spans="3:4" ht="15" customHeight="1" x14ac:dyDescent="0.3">
      <c r="C279" s="130" t="s">
        <v>169</v>
      </c>
      <c r="D279" s="128">
        <v>400</v>
      </c>
    </row>
    <row r="280" spans="3:4" ht="15" customHeight="1" x14ac:dyDescent="0.3">
      <c r="C280" s="131" t="s">
        <v>170</v>
      </c>
      <c r="D280" s="128">
        <v>400</v>
      </c>
    </row>
    <row r="281" spans="3:4" ht="15" customHeight="1" x14ac:dyDescent="0.3">
      <c r="C281" s="129">
        <v>126</v>
      </c>
      <c r="D281" s="128">
        <v>400</v>
      </c>
    </row>
    <row r="282" spans="3:4" ht="15" customHeight="1" x14ac:dyDescent="0.3">
      <c r="C282" s="130" t="s">
        <v>169</v>
      </c>
      <c r="D282" s="128">
        <v>400</v>
      </c>
    </row>
    <row r="283" spans="3:4" ht="15" customHeight="1" x14ac:dyDescent="0.3">
      <c r="C283" s="131" t="s">
        <v>170</v>
      </c>
      <c r="D283" s="128">
        <v>400</v>
      </c>
    </row>
    <row r="284" spans="3:4" ht="15" customHeight="1" x14ac:dyDescent="0.3">
      <c r="C284" s="129">
        <v>104</v>
      </c>
      <c r="D284" s="128">
        <v>400</v>
      </c>
    </row>
    <row r="285" spans="3:4" ht="15" customHeight="1" x14ac:dyDescent="0.3">
      <c r="C285" s="130" t="s">
        <v>169</v>
      </c>
      <c r="D285" s="128">
        <v>400</v>
      </c>
    </row>
    <row r="286" spans="3:4" ht="15" customHeight="1" x14ac:dyDescent="0.3">
      <c r="C286" s="131" t="s">
        <v>170</v>
      </c>
      <c r="D286" s="128">
        <v>400</v>
      </c>
    </row>
    <row r="287" spans="3:4" ht="15" customHeight="1" x14ac:dyDescent="0.3">
      <c r="C287" s="129">
        <v>128</v>
      </c>
      <c r="D287" s="128">
        <v>400</v>
      </c>
    </row>
    <row r="288" spans="3:4" ht="15" customHeight="1" x14ac:dyDescent="0.3">
      <c r="C288" s="130" t="s">
        <v>169</v>
      </c>
      <c r="D288" s="128">
        <v>400</v>
      </c>
    </row>
    <row r="289" spans="3:4" ht="15" customHeight="1" x14ac:dyDescent="0.3">
      <c r="C289" s="131" t="s">
        <v>170</v>
      </c>
      <c r="D289" s="128">
        <v>400</v>
      </c>
    </row>
    <row r="290" spans="3:4" ht="15" customHeight="1" x14ac:dyDescent="0.3">
      <c r="C290" s="129">
        <v>106</v>
      </c>
      <c r="D290" s="128">
        <v>400</v>
      </c>
    </row>
    <row r="291" spans="3:4" ht="15" customHeight="1" x14ac:dyDescent="0.3">
      <c r="C291" s="130" t="s">
        <v>169</v>
      </c>
      <c r="D291" s="128">
        <v>400</v>
      </c>
    </row>
    <row r="292" spans="3:4" ht="15" customHeight="1" x14ac:dyDescent="0.3">
      <c r="C292" s="131" t="s">
        <v>170</v>
      </c>
      <c r="D292" s="128">
        <v>400</v>
      </c>
    </row>
    <row r="293" spans="3:4" ht="15" customHeight="1" x14ac:dyDescent="0.3">
      <c r="C293" s="129">
        <v>129</v>
      </c>
      <c r="D293" s="128">
        <v>400</v>
      </c>
    </row>
    <row r="294" spans="3:4" ht="15" customHeight="1" x14ac:dyDescent="0.3">
      <c r="C294" s="130" t="s">
        <v>169</v>
      </c>
      <c r="D294" s="128">
        <v>400</v>
      </c>
    </row>
    <row r="295" spans="3:4" ht="15" customHeight="1" x14ac:dyDescent="0.3">
      <c r="C295" s="131" t="s">
        <v>170</v>
      </c>
      <c r="D295" s="128">
        <v>400</v>
      </c>
    </row>
    <row r="296" spans="3:4" ht="15" customHeight="1" x14ac:dyDescent="0.3">
      <c r="C296" s="129">
        <v>64</v>
      </c>
      <c r="D296" s="128">
        <v>400</v>
      </c>
    </row>
    <row r="297" spans="3:4" ht="15" customHeight="1" x14ac:dyDescent="0.3">
      <c r="C297" s="130" t="s">
        <v>169</v>
      </c>
      <c r="D297" s="128">
        <v>400</v>
      </c>
    </row>
    <row r="298" spans="3:4" ht="15" customHeight="1" x14ac:dyDescent="0.3">
      <c r="C298" s="131" t="s">
        <v>170</v>
      </c>
      <c r="D298" s="128">
        <v>400</v>
      </c>
    </row>
    <row r="299" spans="3:4" ht="15" customHeight="1" x14ac:dyDescent="0.3">
      <c r="C299" s="129">
        <v>130</v>
      </c>
      <c r="D299" s="128">
        <v>400</v>
      </c>
    </row>
    <row r="300" spans="3:4" ht="15" customHeight="1" x14ac:dyDescent="0.3">
      <c r="C300" s="130" t="s">
        <v>169</v>
      </c>
      <c r="D300" s="128">
        <v>400</v>
      </c>
    </row>
    <row r="301" spans="3:4" ht="15" customHeight="1" x14ac:dyDescent="0.3">
      <c r="C301" s="131" t="s">
        <v>170</v>
      </c>
      <c r="D301" s="128">
        <v>400</v>
      </c>
    </row>
    <row r="302" spans="3:4" ht="15" customHeight="1" x14ac:dyDescent="0.3">
      <c r="C302" s="129">
        <v>68</v>
      </c>
      <c r="D302" s="128">
        <v>400</v>
      </c>
    </row>
    <row r="303" spans="3:4" ht="15" customHeight="1" x14ac:dyDescent="0.3">
      <c r="C303" s="130" t="s">
        <v>169</v>
      </c>
      <c r="D303" s="128">
        <v>400</v>
      </c>
    </row>
    <row r="304" spans="3:4" ht="15" customHeight="1" x14ac:dyDescent="0.3">
      <c r="C304" s="131" t="s">
        <v>170</v>
      </c>
      <c r="D304" s="128">
        <v>400</v>
      </c>
    </row>
    <row r="305" spans="3:4" ht="15" customHeight="1" x14ac:dyDescent="0.3">
      <c r="C305" s="129">
        <v>131</v>
      </c>
      <c r="D305" s="128">
        <v>400</v>
      </c>
    </row>
    <row r="306" spans="3:4" ht="15" customHeight="1" x14ac:dyDescent="0.3">
      <c r="C306" s="130" t="s">
        <v>169</v>
      </c>
      <c r="D306" s="128">
        <v>400</v>
      </c>
    </row>
    <row r="307" spans="3:4" ht="15" customHeight="1" x14ac:dyDescent="0.3">
      <c r="C307" s="131" t="s">
        <v>170</v>
      </c>
      <c r="D307" s="128">
        <v>400</v>
      </c>
    </row>
    <row r="308" spans="3:4" ht="15" customHeight="1" x14ac:dyDescent="0.3">
      <c r="C308" s="129">
        <v>74</v>
      </c>
      <c r="D308" s="128">
        <v>400</v>
      </c>
    </row>
    <row r="309" spans="3:4" ht="15" customHeight="1" x14ac:dyDescent="0.3">
      <c r="C309" s="130" t="s">
        <v>169</v>
      </c>
      <c r="D309" s="128">
        <v>400</v>
      </c>
    </row>
    <row r="310" spans="3:4" ht="15" customHeight="1" x14ac:dyDescent="0.3">
      <c r="C310" s="131" t="s">
        <v>170</v>
      </c>
      <c r="D310" s="128">
        <v>400</v>
      </c>
    </row>
    <row r="311" spans="3:4" ht="15" customHeight="1" x14ac:dyDescent="0.3">
      <c r="C311" s="129">
        <v>132</v>
      </c>
      <c r="D311" s="128">
        <v>400</v>
      </c>
    </row>
    <row r="312" spans="3:4" ht="15" customHeight="1" x14ac:dyDescent="0.3">
      <c r="C312" s="130" t="s">
        <v>169</v>
      </c>
      <c r="D312" s="128">
        <v>400</v>
      </c>
    </row>
    <row r="313" spans="3:4" ht="15" customHeight="1" x14ac:dyDescent="0.3">
      <c r="C313" s="131" t="s">
        <v>170</v>
      </c>
      <c r="D313" s="128">
        <v>400</v>
      </c>
    </row>
    <row r="314" spans="3:4" ht="15" customHeight="1" x14ac:dyDescent="0.3">
      <c r="C314" s="129">
        <v>79</v>
      </c>
      <c r="D314" s="128">
        <v>400</v>
      </c>
    </row>
    <row r="315" spans="3:4" ht="15" customHeight="1" x14ac:dyDescent="0.3">
      <c r="C315" s="130" t="s">
        <v>169</v>
      </c>
      <c r="D315" s="128">
        <v>400</v>
      </c>
    </row>
    <row r="316" spans="3:4" ht="15" customHeight="1" x14ac:dyDescent="0.3">
      <c r="C316" s="131" t="s">
        <v>170</v>
      </c>
      <c r="D316" s="128">
        <v>400</v>
      </c>
    </row>
    <row r="317" spans="3:4" ht="15" customHeight="1" x14ac:dyDescent="0.3">
      <c r="C317" s="129">
        <v>133</v>
      </c>
      <c r="D317" s="128">
        <v>400</v>
      </c>
    </row>
    <row r="318" spans="3:4" ht="15" customHeight="1" x14ac:dyDescent="0.3">
      <c r="C318" s="130" t="s">
        <v>169</v>
      </c>
      <c r="D318" s="128">
        <v>400</v>
      </c>
    </row>
    <row r="319" spans="3:4" ht="15" customHeight="1" x14ac:dyDescent="0.3">
      <c r="C319" s="131" t="s">
        <v>170</v>
      </c>
      <c r="D319" s="128">
        <v>400</v>
      </c>
    </row>
    <row r="320" spans="3:4" ht="15" customHeight="1" x14ac:dyDescent="0.3">
      <c r="C320" s="129">
        <v>83</v>
      </c>
      <c r="D320" s="128">
        <v>400</v>
      </c>
    </row>
    <row r="321" spans="3:4" ht="15" customHeight="1" x14ac:dyDescent="0.3">
      <c r="C321" s="130" t="s">
        <v>169</v>
      </c>
      <c r="D321" s="128">
        <v>400</v>
      </c>
    </row>
    <row r="322" spans="3:4" ht="15" customHeight="1" x14ac:dyDescent="0.3">
      <c r="C322" s="131" t="s">
        <v>170</v>
      </c>
      <c r="D322" s="128">
        <v>400</v>
      </c>
    </row>
    <row r="323" spans="3:4" ht="15" customHeight="1" x14ac:dyDescent="0.3">
      <c r="C323" s="129">
        <v>134</v>
      </c>
      <c r="D323" s="128">
        <v>400</v>
      </c>
    </row>
    <row r="324" spans="3:4" ht="15" customHeight="1" x14ac:dyDescent="0.3">
      <c r="C324" s="130" t="s">
        <v>169</v>
      </c>
      <c r="D324" s="128">
        <v>400</v>
      </c>
    </row>
    <row r="325" spans="3:4" ht="15" customHeight="1" x14ac:dyDescent="0.3">
      <c r="C325" s="131" t="s">
        <v>170</v>
      </c>
      <c r="D325" s="128">
        <v>400</v>
      </c>
    </row>
    <row r="326" spans="3:4" ht="15" customHeight="1" x14ac:dyDescent="0.3">
      <c r="C326" s="129">
        <v>87</v>
      </c>
      <c r="D326" s="128">
        <v>400</v>
      </c>
    </row>
    <row r="327" spans="3:4" ht="15" customHeight="1" x14ac:dyDescent="0.3">
      <c r="C327" s="130" t="s">
        <v>169</v>
      </c>
      <c r="D327" s="128">
        <v>400</v>
      </c>
    </row>
    <row r="328" spans="3:4" ht="15" customHeight="1" x14ac:dyDescent="0.3">
      <c r="C328" s="131" t="s">
        <v>170</v>
      </c>
      <c r="D328" s="128">
        <v>400</v>
      </c>
    </row>
    <row r="329" spans="3:4" ht="15" customHeight="1" x14ac:dyDescent="0.3">
      <c r="C329" s="129">
        <v>135</v>
      </c>
      <c r="D329" s="128">
        <v>400</v>
      </c>
    </row>
    <row r="330" spans="3:4" ht="15" customHeight="1" x14ac:dyDescent="0.3">
      <c r="C330" s="130" t="s">
        <v>169</v>
      </c>
      <c r="D330" s="128">
        <v>400</v>
      </c>
    </row>
    <row r="331" spans="3:4" ht="15" customHeight="1" x14ac:dyDescent="0.3">
      <c r="C331" s="131" t="s">
        <v>170</v>
      </c>
      <c r="D331" s="128">
        <v>400</v>
      </c>
    </row>
    <row r="332" spans="3:4" ht="15" customHeight="1" x14ac:dyDescent="0.3">
      <c r="C332" s="129">
        <v>93</v>
      </c>
      <c r="D332" s="128">
        <v>400</v>
      </c>
    </row>
    <row r="333" spans="3:4" ht="15" customHeight="1" x14ac:dyDescent="0.3">
      <c r="C333" s="130" t="s">
        <v>169</v>
      </c>
      <c r="D333" s="128">
        <v>400</v>
      </c>
    </row>
    <row r="334" spans="3:4" ht="15" customHeight="1" x14ac:dyDescent="0.3">
      <c r="C334" s="131" t="s">
        <v>170</v>
      </c>
      <c r="D334" s="128">
        <v>400</v>
      </c>
    </row>
    <row r="335" spans="3:4" ht="15" customHeight="1" x14ac:dyDescent="0.3">
      <c r="C335" s="129">
        <v>136</v>
      </c>
      <c r="D335" s="128">
        <v>400</v>
      </c>
    </row>
    <row r="336" spans="3:4" ht="15" customHeight="1" x14ac:dyDescent="0.3">
      <c r="C336" s="130" t="s">
        <v>169</v>
      </c>
      <c r="D336" s="128">
        <v>400</v>
      </c>
    </row>
    <row r="337" spans="3:4" ht="15" customHeight="1" x14ac:dyDescent="0.3">
      <c r="C337" s="131" t="s">
        <v>170</v>
      </c>
      <c r="D337" s="128">
        <v>400</v>
      </c>
    </row>
    <row r="338" spans="3:4" ht="15" customHeight="1" x14ac:dyDescent="0.3">
      <c r="C338" s="129">
        <v>97</v>
      </c>
      <c r="D338" s="128">
        <v>400</v>
      </c>
    </row>
    <row r="339" spans="3:4" ht="15" customHeight="1" x14ac:dyDescent="0.3">
      <c r="C339" s="130" t="s">
        <v>169</v>
      </c>
      <c r="D339" s="128">
        <v>400</v>
      </c>
    </row>
    <row r="340" spans="3:4" ht="15" customHeight="1" x14ac:dyDescent="0.3">
      <c r="C340" s="131" t="s">
        <v>170</v>
      </c>
      <c r="D340" s="128">
        <v>400</v>
      </c>
    </row>
    <row r="341" spans="3:4" ht="15" customHeight="1" x14ac:dyDescent="0.3">
      <c r="C341" s="129">
        <v>137</v>
      </c>
      <c r="D341" s="128">
        <v>400</v>
      </c>
    </row>
    <row r="342" spans="3:4" ht="15" customHeight="1" x14ac:dyDescent="0.3">
      <c r="C342" s="130" t="s">
        <v>169</v>
      </c>
      <c r="D342" s="128">
        <v>400</v>
      </c>
    </row>
    <row r="343" spans="3:4" ht="15" customHeight="1" x14ac:dyDescent="0.3">
      <c r="C343" s="131" t="s">
        <v>170</v>
      </c>
      <c r="D343" s="128">
        <v>400</v>
      </c>
    </row>
    <row r="344" spans="3:4" ht="15" customHeight="1" x14ac:dyDescent="0.3">
      <c r="C344" s="129">
        <v>101</v>
      </c>
      <c r="D344" s="128">
        <v>400</v>
      </c>
    </row>
    <row r="345" spans="3:4" ht="15" customHeight="1" x14ac:dyDescent="0.3">
      <c r="C345" s="130" t="s">
        <v>169</v>
      </c>
      <c r="D345" s="128">
        <v>400</v>
      </c>
    </row>
    <row r="346" spans="3:4" ht="15" customHeight="1" x14ac:dyDescent="0.3">
      <c r="C346" s="131" t="s">
        <v>170</v>
      </c>
      <c r="D346" s="128">
        <v>400</v>
      </c>
    </row>
    <row r="347" spans="3:4" ht="15" customHeight="1" x14ac:dyDescent="0.3">
      <c r="C347" s="129">
        <v>138</v>
      </c>
      <c r="D347" s="128">
        <v>400</v>
      </c>
    </row>
    <row r="348" spans="3:4" ht="15" customHeight="1" x14ac:dyDescent="0.3">
      <c r="C348" s="130" t="s">
        <v>169</v>
      </c>
      <c r="D348" s="128">
        <v>400</v>
      </c>
    </row>
    <row r="349" spans="3:4" ht="15" customHeight="1" x14ac:dyDescent="0.3">
      <c r="C349" s="131" t="s">
        <v>170</v>
      </c>
      <c r="D349" s="128">
        <v>400</v>
      </c>
    </row>
    <row r="350" spans="3:4" ht="15" customHeight="1" x14ac:dyDescent="0.3">
      <c r="C350" s="129">
        <v>105</v>
      </c>
      <c r="D350" s="128">
        <v>400</v>
      </c>
    </row>
    <row r="351" spans="3:4" ht="15" customHeight="1" x14ac:dyDescent="0.3">
      <c r="C351" s="130" t="s">
        <v>169</v>
      </c>
      <c r="D351" s="128">
        <v>400</v>
      </c>
    </row>
    <row r="352" spans="3:4" ht="15" customHeight="1" x14ac:dyDescent="0.3">
      <c r="C352" s="131" t="s">
        <v>170</v>
      </c>
      <c r="D352" s="128">
        <v>400</v>
      </c>
    </row>
    <row r="353" spans="3:4" ht="15" customHeight="1" x14ac:dyDescent="0.3">
      <c r="C353" s="129">
        <v>139</v>
      </c>
      <c r="D353" s="128">
        <v>400</v>
      </c>
    </row>
    <row r="354" spans="3:4" ht="15" customHeight="1" x14ac:dyDescent="0.3">
      <c r="C354" s="130" t="s">
        <v>169</v>
      </c>
      <c r="D354" s="128">
        <v>400</v>
      </c>
    </row>
    <row r="355" spans="3:4" ht="15" customHeight="1" x14ac:dyDescent="0.3">
      <c r="C355" s="131" t="s">
        <v>170</v>
      </c>
      <c r="D355" s="128">
        <v>400</v>
      </c>
    </row>
    <row r="356" spans="3:4" ht="15" customHeight="1" x14ac:dyDescent="0.3">
      <c r="C356" s="129">
        <v>66</v>
      </c>
      <c r="D356" s="128">
        <v>400</v>
      </c>
    </row>
    <row r="357" spans="3:4" ht="15" customHeight="1" x14ac:dyDescent="0.3">
      <c r="C357" s="130" t="s">
        <v>169</v>
      </c>
      <c r="D357" s="128">
        <v>400</v>
      </c>
    </row>
    <row r="358" spans="3:4" ht="15" customHeight="1" x14ac:dyDescent="0.3">
      <c r="C358" s="131" t="s">
        <v>170</v>
      </c>
      <c r="D358" s="128">
        <v>400</v>
      </c>
    </row>
    <row r="359" spans="3:4" ht="15" customHeight="1" x14ac:dyDescent="0.3">
      <c r="C359" s="129">
        <v>140</v>
      </c>
      <c r="D359" s="128">
        <v>400</v>
      </c>
    </row>
    <row r="360" spans="3:4" ht="15" customHeight="1" x14ac:dyDescent="0.3">
      <c r="C360" s="130" t="s">
        <v>169</v>
      </c>
      <c r="D360" s="128">
        <v>400</v>
      </c>
    </row>
    <row r="361" spans="3:4" ht="15" customHeight="1" x14ac:dyDescent="0.3">
      <c r="C361" s="131" t="s">
        <v>168</v>
      </c>
      <c r="D361" s="128">
        <v>400</v>
      </c>
    </row>
    <row r="362" spans="3:4" ht="15" customHeight="1" x14ac:dyDescent="0.3">
      <c r="C362" s="129">
        <v>77</v>
      </c>
      <c r="D362" s="128">
        <v>400</v>
      </c>
    </row>
    <row r="363" spans="3:4" ht="15" customHeight="1" x14ac:dyDescent="0.3">
      <c r="C363" s="130" t="s">
        <v>169</v>
      </c>
      <c r="D363" s="128">
        <v>400</v>
      </c>
    </row>
    <row r="364" spans="3:4" ht="15" customHeight="1" x14ac:dyDescent="0.3">
      <c r="C364" s="131" t="s">
        <v>170</v>
      </c>
      <c r="D364" s="128">
        <v>400</v>
      </c>
    </row>
    <row r="365" spans="3:4" ht="15" customHeight="1" x14ac:dyDescent="0.3">
      <c r="C365" s="129">
        <v>141</v>
      </c>
      <c r="D365" s="128">
        <v>400</v>
      </c>
    </row>
    <row r="366" spans="3:4" ht="15" customHeight="1" x14ac:dyDescent="0.3">
      <c r="C366" s="130" t="s">
        <v>169</v>
      </c>
      <c r="D366" s="128">
        <v>400</v>
      </c>
    </row>
    <row r="367" spans="3:4" ht="15" customHeight="1" x14ac:dyDescent="0.3">
      <c r="C367" s="131" t="s">
        <v>168</v>
      </c>
      <c r="D367" s="128">
        <v>400</v>
      </c>
    </row>
    <row r="368" spans="3:4" ht="15" customHeight="1" x14ac:dyDescent="0.3">
      <c r="C368" s="129">
        <v>85</v>
      </c>
      <c r="D368" s="128">
        <v>400</v>
      </c>
    </row>
    <row r="369" spans="3:4" ht="15" customHeight="1" x14ac:dyDescent="0.3">
      <c r="C369" s="130" t="s">
        <v>169</v>
      </c>
      <c r="D369" s="128">
        <v>400</v>
      </c>
    </row>
    <row r="370" spans="3:4" ht="15" customHeight="1" x14ac:dyDescent="0.3">
      <c r="C370" s="131" t="s">
        <v>170</v>
      </c>
      <c r="D370" s="128">
        <v>400</v>
      </c>
    </row>
    <row r="371" spans="3:4" ht="15" customHeight="1" x14ac:dyDescent="0.3">
      <c r="C371" s="129">
        <v>142</v>
      </c>
      <c r="D371" s="128">
        <v>400</v>
      </c>
    </row>
    <row r="372" spans="3:4" ht="15" customHeight="1" x14ac:dyDescent="0.3">
      <c r="C372" s="130" t="s">
        <v>169</v>
      </c>
      <c r="D372" s="128">
        <v>400</v>
      </c>
    </row>
    <row r="373" spans="3:4" ht="15" customHeight="1" x14ac:dyDescent="0.3">
      <c r="C373" s="131" t="s">
        <v>168</v>
      </c>
      <c r="D373" s="128">
        <v>400</v>
      </c>
    </row>
    <row r="374" spans="3:4" ht="15" customHeight="1" x14ac:dyDescent="0.3">
      <c r="C374" s="129">
        <v>95</v>
      </c>
      <c r="D374" s="128">
        <v>400</v>
      </c>
    </row>
    <row r="375" spans="3:4" ht="15" customHeight="1" x14ac:dyDescent="0.3">
      <c r="C375" s="130" t="s">
        <v>169</v>
      </c>
      <c r="D375" s="128">
        <v>400</v>
      </c>
    </row>
    <row r="376" spans="3:4" ht="15" customHeight="1" x14ac:dyDescent="0.3">
      <c r="C376" s="131" t="s">
        <v>170</v>
      </c>
      <c r="D376" s="128">
        <v>400</v>
      </c>
    </row>
    <row r="377" spans="3:4" ht="15" customHeight="1" x14ac:dyDescent="0.3">
      <c r="C377" s="129">
        <v>143</v>
      </c>
      <c r="D377" s="128">
        <v>400</v>
      </c>
    </row>
    <row r="378" spans="3:4" ht="15" customHeight="1" x14ac:dyDescent="0.3">
      <c r="C378" s="130" t="s">
        <v>169</v>
      </c>
      <c r="D378" s="128">
        <v>400</v>
      </c>
    </row>
    <row r="379" spans="3:4" ht="15" customHeight="1" x14ac:dyDescent="0.3">
      <c r="C379" s="131" t="s">
        <v>168</v>
      </c>
      <c r="D379" s="128">
        <v>400</v>
      </c>
    </row>
    <row r="380" spans="3:4" ht="15" customHeight="1" x14ac:dyDescent="0.3">
      <c r="C380" s="129">
        <v>103</v>
      </c>
      <c r="D380" s="128">
        <v>400</v>
      </c>
    </row>
    <row r="381" spans="3:4" ht="15" customHeight="1" x14ac:dyDescent="0.3">
      <c r="C381" s="130" t="s">
        <v>169</v>
      </c>
      <c r="D381" s="128">
        <v>400</v>
      </c>
    </row>
    <row r="382" spans="3:4" ht="15" customHeight="1" x14ac:dyDescent="0.3">
      <c r="C382" s="131" t="s">
        <v>170</v>
      </c>
      <c r="D382" s="128">
        <v>400</v>
      </c>
    </row>
    <row r="383" spans="3:4" ht="15" customHeight="1" x14ac:dyDescent="0.3">
      <c r="C383" s="129">
        <v>144</v>
      </c>
      <c r="D383" s="128">
        <v>400</v>
      </c>
    </row>
    <row r="384" spans="3:4" ht="15" customHeight="1" x14ac:dyDescent="0.3">
      <c r="C384" s="130" t="s">
        <v>169</v>
      </c>
      <c r="D384" s="128">
        <v>400</v>
      </c>
    </row>
    <row r="385" spans="3:4" ht="15" customHeight="1" x14ac:dyDescent="0.3">
      <c r="C385" s="131" t="s">
        <v>168</v>
      </c>
      <c r="D385" s="128">
        <v>400</v>
      </c>
    </row>
    <row r="386" spans="3:4" ht="15" customHeight="1" x14ac:dyDescent="0.3">
      <c r="C386" s="129">
        <v>70</v>
      </c>
      <c r="D386" s="128">
        <v>400</v>
      </c>
    </row>
    <row r="387" spans="3:4" ht="15" customHeight="1" x14ac:dyDescent="0.3">
      <c r="C387" s="130" t="s">
        <v>169</v>
      </c>
      <c r="D387" s="128">
        <v>400</v>
      </c>
    </row>
    <row r="388" spans="3:4" ht="15" customHeight="1" x14ac:dyDescent="0.3">
      <c r="C388" s="131" t="s">
        <v>170</v>
      </c>
      <c r="D388" s="128">
        <v>400</v>
      </c>
    </row>
    <row r="389" spans="3:4" ht="15" customHeight="1" x14ac:dyDescent="0.3">
      <c r="C389" s="129">
        <v>145</v>
      </c>
      <c r="D389" s="128">
        <v>400</v>
      </c>
    </row>
    <row r="390" spans="3:4" ht="15" customHeight="1" x14ac:dyDescent="0.3">
      <c r="C390" s="130" t="s">
        <v>169</v>
      </c>
      <c r="D390" s="128">
        <v>400</v>
      </c>
    </row>
    <row r="391" spans="3:4" ht="15" customHeight="1" x14ac:dyDescent="0.3">
      <c r="C391" s="131" t="s">
        <v>168</v>
      </c>
      <c r="D391" s="128">
        <v>400</v>
      </c>
    </row>
    <row r="392" spans="3:4" ht="15" customHeight="1" x14ac:dyDescent="0.3">
      <c r="C392" s="129">
        <v>91</v>
      </c>
      <c r="D392" s="128">
        <v>400</v>
      </c>
    </row>
    <row r="393" spans="3:4" ht="15" customHeight="1" x14ac:dyDescent="0.3">
      <c r="C393" s="130" t="s">
        <v>169</v>
      </c>
      <c r="D393" s="128">
        <v>400</v>
      </c>
    </row>
    <row r="394" spans="3:4" ht="15" customHeight="1" x14ac:dyDescent="0.3">
      <c r="C394" s="131" t="s">
        <v>170</v>
      </c>
      <c r="D394" s="128">
        <v>400</v>
      </c>
    </row>
    <row r="395" spans="3:4" ht="15" customHeight="1" x14ac:dyDescent="0.3">
      <c r="C395" s="129">
        <v>146</v>
      </c>
      <c r="D395" s="128">
        <v>400</v>
      </c>
    </row>
    <row r="396" spans="3:4" ht="15" customHeight="1" x14ac:dyDescent="0.3">
      <c r="C396" s="130" t="s">
        <v>169</v>
      </c>
      <c r="D396" s="128">
        <v>400</v>
      </c>
    </row>
    <row r="397" spans="3:4" ht="15" customHeight="1" x14ac:dyDescent="0.3">
      <c r="C397" s="131" t="s">
        <v>168</v>
      </c>
      <c r="D397" s="128">
        <v>400</v>
      </c>
    </row>
    <row r="398" spans="3:4" ht="15" customHeight="1" x14ac:dyDescent="0.3">
      <c r="C398" s="129">
        <v>62</v>
      </c>
      <c r="D398" s="128">
        <v>400</v>
      </c>
    </row>
    <row r="399" spans="3:4" ht="15" customHeight="1" x14ac:dyDescent="0.3">
      <c r="C399" s="130" t="s">
        <v>169</v>
      </c>
      <c r="D399" s="128">
        <v>400</v>
      </c>
    </row>
    <row r="400" spans="3:4" ht="15" customHeight="1" x14ac:dyDescent="0.3">
      <c r="C400" s="131" t="s">
        <v>170</v>
      </c>
      <c r="D400" s="128">
        <v>400</v>
      </c>
    </row>
    <row r="401" spans="3:4" ht="15" customHeight="1" x14ac:dyDescent="0.3">
      <c r="C401" s="129">
        <v>147</v>
      </c>
      <c r="D401" s="128">
        <v>400</v>
      </c>
    </row>
    <row r="402" spans="3:4" ht="15" customHeight="1" x14ac:dyDescent="0.3">
      <c r="C402" s="130" t="s">
        <v>169</v>
      </c>
      <c r="D402" s="128">
        <v>400</v>
      </c>
    </row>
    <row r="403" spans="3:4" ht="15" customHeight="1" x14ac:dyDescent="0.3">
      <c r="C403" s="131" t="s">
        <v>168</v>
      </c>
      <c r="D403" s="128">
        <v>400</v>
      </c>
    </row>
    <row r="404" spans="3:4" ht="15" customHeight="1" x14ac:dyDescent="0.3">
      <c r="C404" s="129">
        <v>99</v>
      </c>
      <c r="D404" s="128">
        <v>400</v>
      </c>
    </row>
    <row r="405" spans="3:4" ht="15" customHeight="1" x14ac:dyDescent="0.3">
      <c r="C405" s="130" t="s">
        <v>169</v>
      </c>
      <c r="D405" s="128">
        <v>400</v>
      </c>
    </row>
    <row r="406" spans="3:4" ht="15" customHeight="1" x14ac:dyDescent="0.3">
      <c r="C406" s="131" t="s">
        <v>170</v>
      </c>
      <c r="D406" s="128">
        <v>400</v>
      </c>
    </row>
    <row r="407" spans="3:4" ht="15" customHeight="1" x14ac:dyDescent="0.3">
      <c r="C407" s="129">
        <v>148</v>
      </c>
      <c r="D407" s="128">
        <v>400</v>
      </c>
    </row>
    <row r="408" spans="3:4" ht="15" customHeight="1" x14ac:dyDescent="0.3">
      <c r="C408" s="130" t="s">
        <v>169</v>
      </c>
      <c r="D408" s="128">
        <v>400</v>
      </c>
    </row>
    <row r="409" spans="3:4" ht="15" customHeight="1" x14ac:dyDescent="0.3">
      <c r="C409" s="131" t="s">
        <v>168</v>
      </c>
      <c r="D409" s="128">
        <v>400</v>
      </c>
    </row>
    <row r="410" spans="3:4" ht="15" customHeight="1" x14ac:dyDescent="0.3">
      <c r="C410" s="129">
        <v>81</v>
      </c>
      <c r="D410" s="128">
        <v>400</v>
      </c>
    </row>
    <row r="411" spans="3:4" ht="15" customHeight="1" x14ac:dyDescent="0.3">
      <c r="C411" s="130" t="s">
        <v>169</v>
      </c>
      <c r="D411" s="128">
        <v>400</v>
      </c>
    </row>
    <row r="412" spans="3:4" ht="15" customHeight="1" x14ac:dyDescent="0.3">
      <c r="C412" s="131" t="s">
        <v>170</v>
      </c>
      <c r="D412" s="128">
        <v>400</v>
      </c>
    </row>
    <row r="413" spans="3:4" ht="15" customHeight="1" x14ac:dyDescent="0.3">
      <c r="C413" s="129">
        <v>149</v>
      </c>
      <c r="D413" s="128">
        <v>400</v>
      </c>
    </row>
    <row r="414" spans="3:4" ht="15" customHeight="1" x14ac:dyDescent="0.3">
      <c r="C414" s="130" t="s">
        <v>169</v>
      </c>
      <c r="D414" s="128">
        <v>400</v>
      </c>
    </row>
    <row r="415" spans="3:4" ht="15" customHeight="1" x14ac:dyDescent="0.3">
      <c r="C415" s="131" t="s">
        <v>168</v>
      </c>
      <c r="D415" s="128">
        <v>400</v>
      </c>
    </row>
    <row r="416" spans="3:4" ht="15" customHeight="1" x14ac:dyDescent="0.3">
      <c r="C416" s="129" t="s">
        <v>171</v>
      </c>
      <c r="D416" s="128">
        <v>320</v>
      </c>
    </row>
    <row r="417" spans="3:4" ht="15" customHeight="1" x14ac:dyDescent="0.3">
      <c r="C417"/>
      <c r="D417"/>
    </row>
    <row r="418" spans="3:4" ht="15" customHeight="1" x14ac:dyDescent="0.3">
      <c r="C418"/>
      <c r="D418"/>
    </row>
    <row r="419" spans="3:4" ht="15" customHeight="1" x14ac:dyDescent="0.3">
      <c r="C419"/>
      <c r="D419"/>
    </row>
    <row r="420" spans="3:4" ht="15" customHeight="1" x14ac:dyDescent="0.3">
      <c r="C420"/>
      <c r="D420"/>
    </row>
    <row r="421" spans="3:4" ht="15" customHeight="1" x14ac:dyDescent="0.3">
      <c r="C421"/>
      <c r="D421"/>
    </row>
    <row r="422" spans="3:4" ht="15" customHeight="1" x14ac:dyDescent="0.3">
      <c r="C422"/>
      <c r="D422"/>
    </row>
    <row r="423" spans="3:4" ht="15" customHeight="1" x14ac:dyDescent="0.3">
      <c r="C423"/>
      <c r="D423"/>
    </row>
    <row r="424" spans="3:4" ht="15" customHeight="1" x14ac:dyDescent="0.3">
      <c r="C424"/>
      <c r="D424"/>
    </row>
    <row r="425" spans="3:4" ht="15" customHeight="1" x14ac:dyDescent="0.3">
      <c r="C425"/>
      <c r="D425"/>
    </row>
    <row r="426" spans="3:4" ht="15" customHeight="1" x14ac:dyDescent="0.3">
      <c r="C426"/>
      <c r="D426"/>
    </row>
    <row r="427" spans="3:4" ht="15" customHeight="1" x14ac:dyDescent="0.3">
      <c r="C427"/>
      <c r="D427"/>
    </row>
    <row r="428" spans="3:4" ht="15" customHeight="1" x14ac:dyDescent="0.3">
      <c r="C428"/>
      <c r="D428"/>
    </row>
    <row r="429" spans="3:4" ht="15" customHeight="1" x14ac:dyDescent="0.3">
      <c r="C429"/>
      <c r="D429"/>
    </row>
    <row r="430" spans="3:4" ht="15" customHeight="1" x14ac:dyDescent="0.3">
      <c r="C430"/>
      <c r="D430"/>
    </row>
    <row r="431" spans="3:4" ht="15" customHeight="1" x14ac:dyDescent="0.3">
      <c r="C431"/>
      <c r="D431"/>
    </row>
    <row r="432" spans="3:4" ht="15" customHeight="1" x14ac:dyDescent="0.3">
      <c r="C432"/>
      <c r="D432"/>
    </row>
    <row r="433" spans="3:4" ht="15" customHeight="1" x14ac:dyDescent="0.3">
      <c r="C433"/>
      <c r="D433"/>
    </row>
    <row r="434" spans="3:4" ht="15" customHeight="1" x14ac:dyDescent="0.3">
      <c r="C434"/>
      <c r="D434"/>
    </row>
    <row r="435" spans="3:4" ht="15" customHeight="1" x14ac:dyDescent="0.3">
      <c r="C435"/>
      <c r="D435"/>
    </row>
    <row r="436" spans="3:4" ht="15" customHeight="1" x14ac:dyDescent="0.3">
      <c r="C436"/>
      <c r="D436"/>
    </row>
    <row r="437" spans="3:4" ht="15" customHeight="1" x14ac:dyDescent="0.3">
      <c r="C437"/>
      <c r="D437"/>
    </row>
    <row r="438" spans="3:4" ht="15" customHeight="1" x14ac:dyDescent="0.3">
      <c r="C438"/>
      <c r="D438"/>
    </row>
    <row r="439" spans="3:4" ht="15" customHeight="1" x14ac:dyDescent="0.3">
      <c r="C439"/>
      <c r="D439"/>
    </row>
    <row r="440" spans="3:4" ht="15" customHeight="1" x14ac:dyDescent="0.3">
      <c r="C440"/>
      <c r="D440"/>
    </row>
    <row r="441" spans="3:4" ht="15" customHeight="1" x14ac:dyDescent="0.3">
      <c r="C441"/>
      <c r="D441"/>
    </row>
    <row r="442" spans="3:4" ht="15" customHeight="1" x14ac:dyDescent="0.3">
      <c r="C442"/>
      <c r="D442"/>
    </row>
    <row r="443" spans="3:4" ht="15" customHeight="1" x14ac:dyDescent="0.3">
      <c r="C443"/>
      <c r="D443"/>
    </row>
    <row r="444" spans="3:4" ht="15" customHeight="1" x14ac:dyDescent="0.3">
      <c r="C444"/>
      <c r="D444"/>
    </row>
    <row r="445" spans="3:4" ht="15" customHeight="1" x14ac:dyDescent="0.3">
      <c r="C445"/>
      <c r="D445"/>
    </row>
    <row r="446" spans="3:4" ht="15" customHeight="1" x14ac:dyDescent="0.3">
      <c r="C446"/>
      <c r="D446"/>
    </row>
    <row r="447" spans="3:4" ht="15" customHeight="1" x14ac:dyDescent="0.3">
      <c r="C447"/>
      <c r="D447"/>
    </row>
    <row r="448" spans="3:4" ht="15" customHeight="1" x14ac:dyDescent="0.3">
      <c r="C448"/>
      <c r="D448"/>
    </row>
    <row r="449" spans="3:4" ht="15" customHeight="1" x14ac:dyDescent="0.3">
      <c r="C449"/>
      <c r="D449"/>
    </row>
    <row r="450" spans="3:4" ht="15" customHeight="1" x14ac:dyDescent="0.3">
      <c r="C450"/>
      <c r="D450"/>
    </row>
    <row r="451" spans="3:4" ht="15" customHeight="1" x14ac:dyDescent="0.3">
      <c r="C451"/>
      <c r="D451"/>
    </row>
    <row r="452" spans="3:4" ht="15" customHeight="1" x14ac:dyDescent="0.3">
      <c r="C452"/>
      <c r="D452"/>
    </row>
    <row r="453" spans="3:4" ht="15" customHeight="1" x14ac:dyDescent="0.3">
      <c r="C453"/>
      <c r="D453"/>
    </row>
    <row r="454" spans="3:4" ht="15" customHeight="1" x14ac:dyDescent="0.3">
      <c r="C454"/>
      <c r="D454"/>
    </row>
    <row r="455" spans="3:4" ht="15" customHeight="1" x14ac:dyDescent="0.3">
      <c r="C455"/>
      <c r="D455"/>
    </row>
    <row r="456" spans="3:4" ht="15" customHeight="1" x14ac:dyDescent="0.3">
      <c r="C456"/>
      <c r="D456"/>
    </row>
    <row r="457" spans="3:4" ht="15" customHeight="1" x14ac:dyDescent="0.3">
      <c r="C457"/>
      <c r="D457"/>
    </row>
    <row r="458" spans="3:4" ht="15" customHeight="1" x14ac:dyDescent="0.3">
      <c r="C458"/>
      <c r="D458"/>
    </row>
    <row r="459" spans="3:4" ht="15" customHeight="1" x14ac:dyDescent="0.3">
      <c r="C459"/>
      <c r="D459"/>
    </row>
    <row r="460" spans="3:4" ht="15" customHeight="1" x14ac:dyDescent="0.3">
      <c r="C460"/>
      <c r="D460"/>
    </row>
    <row r="461" spans="3:4" ht="15" customHeight="1" x14ac:dyDescent="0.3">
      <c r="C461"/>
      <c r="D461"/>
    </row>
    <row r="462" spans="3:4" ht="15" customHeight="1" x14ac:dyDescent="0.3">
      <c r="C462"/>
      <c r="D462"/>
    </row>
    <row r="463" spans="3:4" ht="15" customHeight="1" x14ac:dyDescent="0.3">
      <c r="C463"/>
      <c r="D463"/>
    </row>
    <row r="464" spans="3:4" ht="15" customHeight="1" x14ac:dyDescent="0.3">
      <c r="C464"/>
      <c r="D464"/>
    </row>
    <row r="465" spans="3:4" ht="15" customHeight="1" x14ac:dyDescent="0.3">
      <c r="C465"/>
      <c r="D465"/>
    </row>
    <row r="466" spans="3:4" ht="15" customHeight="1" x14ac:dyDescent="0.3">
      <c r="C466"/>
      <c r="D466"/>
    </row>
    <row r="467" spans="3:4" ht="15" customHeight="1" x14ac:dyDescent="0.3">
      <c r="C467"/>
      <c r="D467"/>
    </row>
    <row r="468" spans="3:4" ht="15" customHeight="1" x14ac:dyDescent="0.3">
      <c r="C468"/>
      <c r="D468"/>
    </row>
    <row r="469" spans="3:4" ht="15" customHeight="1" x14ac:dyDescent="0.3">
      <c r="C469"/>
      <c r="D469"/>
    </row>
    <row r="470" spans="3:4" ht="15" customHeight="1" x14ac:dyDescent="0.3">
      <c r="C470"/>
      <c r="D470"/>
    </row>
    <row r="471" spans="3:4" ht="15" customHeight="1" x14ac:dyDescent="0.3">
      <c r="C471"/>
      <c r="D471"/>
    </row>
    <row r="472" spans="3:4" ht="15" customHeight="1" x14ac:dyDescent="0.3">
      <c r="C472"/>
      <c r="D472"/>
    </row>
    <row r="473" spans="3:4" ht="15" customHeight="1" x14ac:dyDescent="0.3">
      <c r="C473"/>
      <c r="D473"/>
    </row>
    <row r="474" spans="3:4" ht="15" customHeight="1" x14ac:dyDescent="0.3">
      <c r="C474"/>
      <c r="D474"/>
    </row>
    <row r="475" spans="3:4" ht="15" customHeight="1" x14ac:dyDescent="0.3">
      <c r="C475"/>
      <c r="D475"/>
    </row>
    <row r="476" spans="3:4" ht="15" customHeight="1" x14ac:dyDescent="0.3">
      <c r="C476"/>
      <c r="D476"/>
    </row>
    <row r="477" spans="3:4" ht="15" customHeight="1" x14ac:dyDescent="0.3">
      <c r="C477"/>
      <c r="D477"/>
    </row>
    <row r="478" spans="3:4" ht="15" customHeight="1" x14ac:dyDescent="0.3">
      <c r="C478"/>
      <c r="D478"/>
    </row>
    <row r="479" spans="3:4" ht="15" customHeight="1" x14ac:dyDescent="0.3">
      <c r="C479"/>
      <c r="D479"/>
    </row>
    <row r="480" spans="3:4" ht="15" customHeight="1" x14ac:dyDescent="0.3">
      <c r="C480"/>
      <c r="D480"/>
    </row>
    <row r="481" spans="3:4" ht="15" customHeight="1" x14ac:dyDescent="0.3">
      <c r="C481"/>
      <c r="D481"/>
    </row>
    <row r="482" spans="3:4" ht="15" customHeight="1" x14ac:dyDescent="0.3">
      <c r="C482"/>
      <c r="D482"/>
    </row>
    <row r="483" spans="3:4" ht="15" customHeight="1" x14ac:dyDescent="0.3">
      <c r="C483"/>
      <c r="D483"/>
    </row>
    <row r="484" spans="3:4" ht="15" customHeight="1" x14ac:dyDescent="0.3">
      <c r="C484"/>
      <c r="D484"/>
    </row>
    <row r="485" spans="3:4" ht="15" customHeight="1" x14ac:dyDescent="0.3">
      <c r="C485"/>
      <c r="D485"/>
    </row>
    <row r="486" spans="3:4" ht="15" customHeight="1" x14ac:dyDescent="0.3">
      <c r="C486"/>
      <c r="D486"/>
    </row>
    <row r="487" spans="3:4" ht="15" customHeight="1" x14ac:dyDescent="0.3">
      <c r="C487"/>
      <c r="D487"/>
    </row>
    <row r="488" spans="3:4" ht="15" customHeight="1" x14ac:dyDescent="0.3">
      <c r="C488"/>
      <c r="D488"/>
    </row>
    <row r="489" spans="3:4" ht="15" customHeight="1" x14ac:dyDescent="0.3">
      <c r="C489"/>
      <c r="D489"/>
    </row>
    <row r="490" spans="3:4" ht="15" customHeight="1" x14ac:dyDescent="0.3">
      <c r="C490"/>
      <c r="D490"/>
    </row>
    <row r="491" spans="3:4" ht="15" customHeight="1" x14ac:dyDescent="0.3">
      <c r="C491"/>
      <c r="D491"/>
    </row>
    <row r="492" spans="3:4" ht="15" customHeight="1" x14ac:dyDescent="0.3">
      <c r="C492"/>
      <c r="D492"/>
    </row>
    <row r="493" spans="3:4" ht="15" customHeight="1" x14ac:dyDescent="0.3">
      <c r="C493"/>
      <c r="D493"/>
    </row>
    <row r="494" spans="3:4" ht="15" customHeight="1" x14ac:dyDescent="0.3">
      <c r="C494"/>
      <c r="D494"/>
    </row>
    <row r="495" spans="3:4" ht="15" customHeight="1" x14ac:dyDescent="0.3">
      <c r="C495"/>
      <c r="D495"/>
    </row>
    <row r="496" spans="3:4" ht="15" customHeight="1" x14ac:dyDescent="0.3">
      <c r="C496"/>
      <c r="D496"/>
    </row>
    <row r="497" spans="3:4" ht="15" customHeight="1" x14ac:dyDescent="0.3">
      <c r="C497"/>
      <c r="D497"/>
    </row>
    <row r="498" spans="3:4" ht="15" customHeight="1" x14ac:dyDescent="0.3">
      <c r="C498"/>
      <c r="D498"/>
    </row>
    <row r="499" spans="3:4" ht="15" customHeight="1" x14ac:dyDescent="0.3">
      <c r="C499"/>
      <c r="D499"/>
    </row>
    <row r="500" spans="3:4" ht="15" customHeight="1" x14ac:dyDescent="0.3">
      <c r="C500"/>
      <c r="D500"/>
    </row>
    <row r="501" spans="3:4" ht="15" customHeight="1" x14ac:dyDescent="0.3">
      <c r="C501"/>
      <c r="D501"/>
    </row>
    <row r="502" spans="3:4" ht="15" customHeight="1" x14ac:dyDescent="0.3">
      <c r="C502"/>
      <c r="D502"/>
    </row>
    <row r="503" spans="3:4" ht="15" customHeight="1" x14ac:dyDescent="0.3">
      <c r="C503"/>
      <c r="D503"/>
    </row>
    <row r="504" spans="3:4" ht="15" customHeight="1" x14ac:dyDescent="0.3">
      <c r="C504"/>
      <c r="D504"/>
    </row>
    <row r="505" spans="3:4" ht="15" customHeight="1" x14ac:dyDescent="0.3">
      <c r="C505"/>
      <c r="D505"/>
    </row>
    <row r="506" spans="3:4" ht="15" customHeight="1" x14ac:dyDescent="0.3">
      <c r="C506"/>
      <c r="D506"/>
    </row>
    <row r="507" spans="3:4" ht="15" customHeight="1" x14ac:dyDescent="0.3">
      <c r="C507"/>
      <c r="D507"/>
    </row>
    <row r="508" spans="3:4" ht="15" customHeight="1" x14ac:dyDescent="0.3">
      <c r="C508"/>
      <c r="D508"/>
    </row>
    <row r="509" spans="3:4" ht="15" customHeight="1" x14ac:dyDescent="0.3">
      <c r="C509"/>
      <c r="D509"/>
    </row>
    <row r="510" spans="3:4" ht="15" customHeight="1" x14ac:dyDescent="0.3">
      <c r="C510"/>
      <c r="D510"/>
    </row>
    <row r="511" spans="3:4" ht="15" customHeight="1" x14ac:dyDescent="0.3">
      <c r="C511"/>
      <c r="D511"/>
    </row>
    <row r="512" spans="3:4" ht="15" customHeight="1" x14ac:dyDescent="0.3">
      <c r="C512"/>
      <c r="D512"/>
    </row>
    <row r="513" spans="3:4" ht="15" customHeight="1" x14ac:dyDescent="0.3">
      <c r="C513"/>
      <c r="D513"/>
    </row>
    <row r="514" spans="3:4" ht="15" customHeight="1" x14ac:dyDescent="0.3">
      <c r="C514"/>
      <c r="D514"/>
    </row>
    <row r="515" spans="3:4" ht="15" customHeight="1" x14ac:dyDescent="0.3">
      <c r="C515"/>
      <c r="D515"/>
    </row>
    <row r="516" spans="3:4" ht="15" customHeight="1" x14ac:dyDescent="0.3">
      <c r="C516"/>
      <c r="D516"/>
    </row>
    <row r="517" spans="3:4" ht="15" customHeight="1" x14ac:dyDescent="0.3">
      <c r="C517"/>
      <c r="D517"/>
    </row>
    <row r="518" spans="3:4" ht="15" customHeight="1" x14ac:dyDescent="0.3">
      <c r="C518"/>
      <c r="D518"/>
    </row>
    <row r="519" spans="3:4" ht="15" customHeight="1" x14ac:dyDescent="0.3">
      <c r="C519"/>
      <c r="D519"/>
    </row>
    <row r="520" spans="3:4" ht="15" customHeight="1" x14ac:dyDescent="0.3">
      <c r="C520"/>
      <c r="D520"/>
    </row>
    <row r="521" spans="3:4" ht="15" customHeight="1" x14ac:dyDescent="0.3">
      <c r="C521"/>
      <c r="D521"/>
    </row>
    <row r="522" spans="3:4" ht="15" customHeight="1" x14ac:dyDescent="0.3">
      <c r="C522"/>
      <c r="D522"/>
    </row>
    <row r="523" spans="3:4" ht="15" customHeight="1" x14ac:dyDescent="0.3">
      <c r="C523"/>
      <c r="D523"/>
    </row>
    <row r="524" spans="3:4" ht="15" customHeight="1" x14ac:dyDescent="0.3">
      <c r="C524"/>
      <c r="D524"/>
    </row>
    <row r="525" spans="3:4" ht="15" customHeight="1" x14ac:dyDescent="0.3">
      <c r="C525"/>
      <c r="D525"/>
    </row>
    <row r="526" spans="3:4" ht="15" customHeight="1" x14ac:dyDescent="0.3">
      <c r="C526"/>
      <c r="D526"/>
    </row>
    <row r="527" spans="3:4" ht="15" customHeight="1" x14ac:dyDescent="0.3">
      <c r="C527"/>
      <c r="D527"/>
    </row>
    <row r="528" spans="3:4" ht="15" customHeight="1" x14ac:dyDescent="0.3">
      <c r="C528"/>
      <c r="D528"/>
    </row>
    <row r="529" spans="3:4" ht="15" customHeight="1" x14ac:dyDescent="0.3">
      <c r="C529"/>
      <c r="D529"/>
    </row>
    <row r="530" spans="3:4" ht="15" customHeight="1" x14ac:dyDescent="0.3">
      <c r="C530"/>
      <c r="D530"/>
    </row>
    <row r="531" spans="3:4" ht="15" customHeight="1" x14ac:dyDescent="0.3">
      <c r="C531"/>
      <c r="D531"/>
    </row>
    <row r="532" spans="3:4" ht="15" customHeight="1" x14ac:dyDescent="0.3">
      <c r="C532"/>
      <c r="D532"/>
    </row>
    <row r="533" spans="3:4" ht="15" customHeight="1" x14ac:dyDescent="0.3">
      <c r="C533"/>
      <c r="D533"/>
    </row>
    <row r="534" spans="3:4" ht="15" customHeight="1" x14ac:dyDescent="0.3">
      <c r="C534"/>
      <c r="D534"/>
    </row>
    <row r="535" spans="3:4" ht="15" customHeight="1" x14ac:dyDescent="0.3">
      <c r="C535"/>
      <c r="D535"/>
    </row>
    <row r="536" spans="3:4" ht="15" customHeight="1" x14ac:dyDescent="0.3">
      <c r="C536"/>
      <c r="D536"/>
    </row>
    <row r="537" spans="3:4" ht="15" customHeight="1" x14ac:dyDescent="0.3">
      <c r="C537"/>
      <c r="D537"/>
    </row>
    <row r="538" spans="3:4" ht="15" customHeight="1" x14ac:dyDescent="0.3">
      <c r="C538"/>
      <c r="D538"/>
    </row>
    <row r="539" spans="3:4" ht="15" customHeight="1" x14ac:dyDescent="0.3">
      <c r="C539"/>
      <c r="D539"/>
    </row>
    <row r="540" spans="3:4" ht="15" customHeight="1" x14ac:dyDescent="0.3">
      <c r="C540"/>
      <c r="D540"/>
    </row>
    <row r="541" spans="3:4" ht="15" customHeight="1" x14ac:dyDescent="0.3">
      <c r="C541"/>
      <c r="D541"/>
    </row>
    <row r="542" spans="3:4" ht="15" customHeight="1" x14ac:dyDescent="0.3">
      <c r="C542"/>
      <c r="D542"/>
    </row>
    <row r="543" spans="3:4" ht="15" customHeight="1" x14ac:dyDescent="0.3">
      <c r="C543"/>
      <c r="D543"/>
    </row>
    <row r="544" spans="3:4" ht="15" customHeight="1" x14ac:dyDescent="0.3">
      <c r="C544"/>
      <c r="D544"/>
    </row>
    <row r="545" spans="3:4" ht="15" customHeight="1" x14ac:dyDescent="0.3">
      <c r="C545"/>
      <c r="D545"/>
    </row>
    <row r="546" spans="3:4" ht="15" customHeight="1" x14ac:dyDescent="0.3">
      <c r="C546"/>
      <c r="D546"/>
    </row>
    <row r="547" spans="3:4" ht="15" customHeight="1" x14ac:dyDescent="0.3">
      <c r="C547"/>
      <c r="D547"/>
    </row>
    <row r="548" spans="3:4" ht="15" customHeight="1" x14ac:dyDescent="0.3">
      <c r="C548"/>
      <c r="D548"/>
    </row>
    <row r="549" spans="3:4" ht="15" customHeight="1" x14ac:dyDescent="0.3">
      <c r="C549"/>
      <c r="D549"/>
    </row>
    <row r="550" spans="3:4" ht="15" customHeight="1" x14ac:dyDescent="0.3">
      <c r="C550"/>
      <c r="D550"/>
    </row>
    <row r="551" spans="3:4" ht="15" customHeight="1" x14ac:dyDescent="0.3">
      <c r="C551"/>
      <c r="D551"/>
    </row>
    <row r="552" spans="3:4" ht="15" customHeight="1" x14ac:dyDescent="0.3">
      <c r="C552"/>
      <c r="D552"/>
    </row>
    <row r="553" spans="3:4" ht="15" customHeight="1" x14ac:dyDescent="0.3">
      <c r="C553"/>
      <c r="D553"/>
    </row>
    <row r="554" spans="3:4" ht="15" customHeight="1" x14ac:dyDescent="0.3">
      <c r="C554"/>
      <c r="D554"/>
    </row>
    <row r="555" spans="3:4" ht="15" customHeight="1" x14ac:dyDescent="0.3">
      <c r="C555"/>
      <c r="D555"/>
    </row>
    <row r="556" spans="3:4" ht="15" customHeight="1" x14ac:dyDescent="0.3">
      <c r="C556"/>
      <c r="D556"/>
    </row>
    <row r="557" spans="3:4" ht="15" customHeight="1" x14ac:dyDescent="0.3">
      <c r="C557"/>
      <c r="D557"/>
    </row>
    <row r="558" spans="3:4" ht="15" customHeight="1" x14ac:dyDescent="0.3">
      <c r="C558"/>
      <c r="D558"/>
    </row>
    <row r="559" spans="3:4" ht="15" customHeight="1" x14ac:dyDescent="0.3">
      <c r="C559"/>
      <c r="D559"/>
    </row>
    <row r="560" spans="3:4" ht="15" customHeight="1" x14ac:dyDescent="0.3">
      <c r="C560"/>
      <c r="D560"/>
    </row>
    <row r="561" spans="3:4" ht="15" customHeight="1" x14ac:dyDescent="0.3">
      <c r="C561"/>
      <c r="D561"/>
    </row>
    <row r="562" spans="3:4" ht="15" customHeight="1" x14ac:dyDescent="0.3">
      <c r="C562"/>
      <c r="D562"/>
    </row>
    <row r="563" spans="3:4" ht="15" customHeight="1" x14ac:dyDescent="0.3">
      <c r="C563"/>
      <c r="D563"/>
    </row>
    <row r="564" spans="3:4" ht="15" customHeight="1" x14ac:dyDescent="0.3">
      <c r="C564"/>
      <c r="D564"/>
    </row>
    <row r="565" spans="3:4" ht="15" customHeight="1" x14ac:dyDescent="0.3">
      <c r="C565"/>
      <c r="D565"/>
    </row>
    <row r="566" spans="3:4" ht="15" customHeight="1" x14ac:dyDescent="0.3">
      <c r="C566"/>
      <c r="D566"/>
    </row>
    <row r="567" spans="3:4" ht="15" customHeight="1" x14ac:dyDescent="0.3">
      <c r="C567"/>
      <c r="D567"/>
    </row>
    <row r="568" spans="3:4" ht="15" customHeight="1" x14ac:dyDescent="0.3">
      <c r="C568"/>
      <c r="D568"/>
    </row>
    <row r="569" spans="3:4" ht="15" customHeight="1" x14ac:dyDescent="0.3">
      <c r="C569"/>
      <c r="D569"/>
    </row>
    <row r="570" spans="3:4" ht="15" customHeight="1" x14ac:dyDescent="0.3">
      <c r="C570"/>
      <c r="D570"/>
    </row>
    <row r="571" spans="3:4" ht="15" customHeight="1" x14ac:dyDescent="0.3">
      <c r="C571"/>
      <c r="D571"/>
    </row>
    <row r="572" spans="3:4" ht="15" customHeight="1" x14ac:dyDescent="0.3">
      <c r="C572"/>
      <c r="D572"/>
    </row>
    <row r="573" spans="3:4" ht="15" customHeight="1" x14ac:dyDescent="0.3">
      <c r="C573"/>
      <c r="D573"/>
    </row>
    <row r="574" spans="3:4" ht="15" customHeight="1" x14ac:dyDescent="0.3">
      <c r="C574"/>
      <c r="D574"/>
    </row>
    <row r="575" spans="3:4" ht="15" customHeight="1" x14ac:dyDescent="0.3">
      <c r="C575"/>
      <c r="D575"/>
    </row>
    <row r="576" spans="3:4" ht="15" customHeight="1" x14ac:dyDescent="0.3">
      <c r="C576"/>
      <c r="D576"/>
    </row>
    <row r="577" spans="3:4" ht="15" customHeight="1" x14ac:dyDescent="0.3">
      <c r="C577"/>
      <c r="D577"/>
    </row>
    <row r="578" spans="3:4" ht="15" customHeight="1" x14ac:dyDescent="0.3">
      <c r="C578"/>
      <c r="D578"/>
    </row>
    <row r="579" spans="3:4" ht="15" customHeight="1" x14ac:dyDescent="0.3">
      <c r="C579"/>
      <c r="D579"/>
    </row>
    <row r="580" spans="3:4" ht="15" customHeight="1" x14ac:dyDescent="0.3">
      <c r="C580"/>
      <c r="D580"/>
    </row>
    <row r="581" spans="3:4" ht="15" customHeight="1" x14ac:dyDescent="0.3">
      <c r="C581"/>
      <c r="D581"/>
    </row>
    <row r="582" spans="3:4" ht="15" customHeight="1" x14ac:dyDescent="0.3">
      <c r="C582"/>
      <c r="D582"/>
    </row>
    <row r="583" spans="3:4" ht="15" customHeight="1" x14ac:dyDescent="0.3">
      <c r="C583"/>
      <c r="D583"/>
    </row>
    <row r="584" spans="3:4" ht="15" customHeight="1" x14ac:dyDescent="0.3">
      <c r="C584"/>
      <c r="D584"/>
    </row>
    <row r="585" spans="3:4" ht="15" customHeight="1" x14ac:dyDescent="0.3">
      <c r="C585"/>
      <c r="D585"/>
    </row>
    <row r="586" spans="3:4" ht="15" customHeight="1" x14ac:dyDescent="0.3">
      <c r="C586"/>
      <c r="D586"/>
    </row>
    <row r="587" spans="3:4" ht="15" customHeight="1" x14ac:dyDescent="0.3">
      <c r="C587"/>
      <c r="D587"/>
    </row>
    <row r="588" spans="3:4" ht="15" customHeight="1" x14ac:dyDescent="0.3">
      <c r="C588"/>
      <c r="D588"/>
    </row>
    <row r="589" spans="3:4" ht="15" customHeight="1" x14ac:dyDescent="0.3">
      <c r="C589"/>
      <c r="D589"/>
    </row>
    <row r="590" spans="3:4" ht="15" customHeight="1" x14ac:dyDescent="0.3">
      <c r="C590"/>
      <c r="D590"/>
    </row>
    <row r="591" spans="3:4" ht="15" customHeight="1" x14ac:dyDescent="0.3">
      <c r="C591"/>
      <c r="D591"/>
    </row>
    <row r="592" spans="3:4" ht="15" customHeight="1" x14ac:dyDescent="0.3">
      <c r="C592"/>
      <c r="D592"/>
    </row>
    <row r="593" spans="3:4" ht="15" customHeight="1" x14ac:dyDescent="0.3">
      <c r="C593"/>
      <c r="D593"/>
    </row>
    <row r="594" spans="3:4" ht="15" customHeight="1" x14ac:dyDescent="0.3">
      <c r="C594"/>
      <c r="D594"/>
    </row>
    <row r="595" spans="3:4" ht="15" customHeight="1" x14ac:dyDescent="0.3">
      <c r="C595"/>
      <c r="D595"/>
    </row>
    <row r="596" spans="3:4" ht="15" customHeight="1" x14ac:dyDescent="0.3">
      <c r="C596"/>
      <c r="D596"/>
    </row>
    <row r="597" spans="3:4" ht="15" customHeight="1" x14ac:dyDescent="0.3">
      <c r="C597"/>
      <c r="D597"/>
    </row>
    <row r="598" spans="3:4" ht="15" customHeight="1" x14ac:dyDescent="0.3">
      <c r="C598"/>
      <c r="D598"/>
    </row>
    <row r="599" spans="3:4" ht="15" customHeight="1" x14ac:dyDescent="0.3">
      <c r="C599"/>
      <c r="D599"/>
    </row>
    <row r="600" spans="3:4" ht="15" customHeight="1" x14ac:dyDescent="0.3">
      <c r="C600"/>
      <c r="D600"/>
    </row>
    <row r="601" spans="3:4" ht="15" customHeight="1" x14ac:dyDescent="0.3">
      <c r="C601"/>
      <c r="D601"/>
    </row>
    <row r="602" spans="3:4" ht="15" customHeight="1" x14ac:dyDescent="0.3">
      <c r="C602"/>
      <c r="D602"/>
    </row>
    <row r="603" spans="3:4" ht="15" customHeight="1" x14ac:dyDescent="0.3">
      <c r="C603"/>
      <c r="D603"/>
    </row>
    <row r="604" spans="3:4" ht="15" customHeight="1" x14ac:dyDescent="0.3">
      <c r="C604"/>
      <c r="D604"/>
    </row>
    <row r="605" spans="3:4" ht="15" customHeight="1" x14ac:dyDescent="0.3">
      <c r="C605"/>
      <c r="D605"/>
    </row>
    <row r="606" spans="3:4" ht="15" customHeight="1" x14ac:dyDescent="0.3">
      <c r="C606"/>
      <c r="D606"/>
    </row>
    <row r="607" spans="3:4" ht="15" customHeight="1" x14ac:dyDescent="0.3">
      <c r="C607"/>
      <c r="D607"/>
    </row>
    <row r="608" spans="3:4" ht="15" customHeight="1" x14ac:dyDescent="0.3">
      <c r="C608"/>
      <c r="D608"/>
    </row>
    <row r="609" spans="3:4" ht="15" customHeight="1" x14ac:dyDescent="0.3">
      <c r="C609"/>
      <c r="D609"/>
    </row>
    <row r="610" spans="3:4" ht="15" customHeight="1" x14ac:dyDescent="0.3">
      <c r="C610"/>
      <c r="D610"/>
    </row>
    <row r="611" spans="3:4" ht="15" customHeight="1" x14ac:dyDescent="0.3">
      <c r="C611"/>
      <c r="D611"/>
    </row>
    <row r="612" spans="3:4" ht="15" customHeight="1" x14ac:dyDescent="0.3">
      <c r="C612"/>
      <c r="D612"/>
    </row>
    <row r="613" spans="3:4" ht="15" customHeight="1" x14ac:dyDescent="0.3">
      <c r="C613"/>
      <c r="D613"/>
    </row>
    <row r="614" spans="3:4" ht="15" customHeight="1" x14ac:dyDescent="0.3">
      <c r="C614"/>
      <c r="D614"/>
    </row>
    <row r="615" spans="3:4" ht="15" customHeight="1" x14ac:dyDescent="0.3">
      <c r="C615"/>
      <c r="D615"/>
    </row>
    <row r="616" spans="3:4" ht="15" customHeight="1" x14ac:dyDescent="0.3">
      <c r="C616"/>
      <c r="D616"/>
    </row>
    <row r="617" spans="3:4" ht="15" customHeight="1" x14ac:dyDescent="0.3">
      <c r="C617"/>
      <c r="D617"/>
    </row>
    <row r="618" spans="3:4" ht="15" customHeight="1" x14ac:dyDescent="0.3">
      <c r="C618"/>
      <c r="D618"/>
    </row>
    <row r="619" spans="3:4" ht="15" customHeight="1" x14ac:dyDescent="0.3">
      <c r="C619"/>
      <c r="D619"/>
    </row>
    <row r="620" spans="3:4" ht="15" customHeight="1" x14ac:dyDescent="0.3">
      <c r="C620"/>
      <c r="D620"/>
    </row>
    <row r="621" spans="3:4" ht="15" customHeight="1" x14ac:dyDescent="0.3">
      <c r="C621"/>
      <c r="D621"/>
    </row>
    <row r="622" spans="3:4" ht="15" customHeight="1" x14ac:dyDescent="0.3">
      <c r="C622"/>
      <c r="D622"/>
    </row>
    <row r="623" spans="3:4" ht="15" customHeight="1" x14ac:dyDescent="0.3">
      <c r="C623"/>
      <c r="D623"/>
    </row>
    <row r="624" spans="3:4" ht="15" customHeight="1" x14ac:dyDescent="0.3">
      <c r="C624"/>
      <c r="D624"/>
    </row>
    <row r="625" spans="3:4" ht="15" customHeight="1" x14ac:dyDescent="0.3">
      <c r="C625"/>
      <c r="D625"/>
    </row>
    <row r="626" spans="3:4" ht="15" customHeight="1" x14ac:dyDescent="0.3">
      <c r="C626"/>
      <c r="D626"/>
    </row>
    <row r="627" spans="3:4" ht="15" customHeight="1" x14ac:dyDescent="0.3">
      <c r="C627"/>
      <c r="D627"/>
    </row>
    <row r="628" spans="3:4" ht="15" customHeight="1" x14ac:dyDescent="0.3">
      <c r="C628"/>
      <c r="D628"/>
    </row>
    <row r="629" spans="3:4" ht="15" customHeight="1" x14ac:dyDescent="0.3">
      <c r="C629"/>
      <c r="D629"/>
    </row>
    <row r="630" spans="3:4" ht="15" customHeight="1" x14ac:dyDescent="0.3">
      <c r="C630"/>
      <c r="D630"/>
    </row>
    <row r="631" spans="3:4" ht="15" customHeight="1" x14ac:dyDescent="0.3">
      <c r="C631"/>
      <c r="D631"/>
    </row>
    <row r="632" spans="3:4" ht="15" customHeight="1" x14ac:dyDescent="0.3">
      <c r="C632"/>
      <c r="D632"/>
    </row>
    <row r="633" spans="3:4" ht="15" customHeight="1" x14ac:dyDescent="0.3">
      <c r="C633"/>
      <c r="D633"/>
    </row>
    <row r="634" spans="3:4" ht="15" customHeight="1" x14ac:dyDescent="0.3">
      <c r="C634"/>
      <c r="D634"/>
    </row>
    <row r="635" spans="3:4" ht="15" customHeight="1" x14ac:dyDescent="0.3">
      <c r="C635"/>
      <c r="D635"/>
    </row>
    <row r="636" spans="3:4" ht="15" customHeight="1" x14ac:dyDescent="0.3">
      <c r="C636"/>
      <c r="D636"/>
    </row>
    <row r="637" spans="3:4" ht="15" customHeight="1" x14ac:dyDescent="0.3">
      <c r="C637"/>
      <c r="D637"/>
    </row>
    <row r="638" spans="3:4" ht="15" customHeight="1" x14ac:dyDescent="0.3">
      <c r="C638"/>
      <c r="D638"/>
    </row>
    <row r="639" spans="3:4" ht="15" customHeight="1" x14ac:dyDescent="0.3">
      <c r="C639"/>
      <c r="D639"/>
    </row>
    <row r="640" spans="3:4" ht="15" customHeight="1" x14ac:dyDescent="0.3">
      <c r="C640"/>
      <c r="D640"/>
    </row>
    <row r="641" spans="3:4" ht="15" customHeight="1" x14ac:dyDescent="0.3">
      <c r="C641"/>
      <c r="D641"/>
    </row>
    <row r="642" spans="3:4" ht="15" customHeight="1" x14ac:dyDescent="0.3">
      <c r="C642"/>
      <c r="D642"/>
    </row>
    <row r="643" spans="3:4" ht="15" customHeight="1" x14ac:dyDescent="0.3">
      <c r="C643"/>
      <c r="D643"/>
    </row>
    <row r="644" spans="3:4" ht="15" customHeight="1" x14ac:dyDescent="0.3">
      <c r="C644"/>
      <c r="D644"/>
    </row>
    <row r="645" spans="3:4" ht="15" customHeight="1" x14ac:dyDescent="0.3">
      <c r="C645"/>
      <c r="D645"/>
    </row>
    <row r="646" spans="3:4" ht="15" customHeight="1" x14ac:dyDescent="0.3">
      <c r="C646"/>
      <c r="D646"/>
    </row>
    <row r="647" spans="3:4" ht="15" customHeight="1" x14ac:dyDescent="0.3">
      <c r="C647"/>
      <c r="D647"/>
    </row>
    <row r="648" spans="3:4" ht="15" customHeight="1" x14ac:dyDescent="0.3">
      <c r="C648"/>
      <c r="D648"/>
    </row>
    <row r="649" spans="3:4" ht="15" customHeight="1" x14ac:dyDescent="0.3">
      <c r="C649"/>
      <c r="D649"/>
    </row>
    <row r="650" spans="3:4" ht="15" customHeight="1" x14ac:dyDescent="0.3">
      <c r="C650"/>
      <c r="D650"/>
    </row>
    <row r="651" spans="3:4" ht="15" customHeight="1" x14ac:dyDescent="0.3">
      <c r="C651"/>
      <c r="D651"/>
    </row>
    <row r="652" spans="3:4" ht="15" customHeight="1" x14ac:dyDescent="0.3">
      <c r="C652"/>
      <c r="D652"/>
    </row>
    <row r="653" spans="3:4" ht="15" customHeight="1" x14ac:dyDescent="0.3">
      <c r="C653"/>
      <c r="D653"/>
    </row>
    <row r="654" spans="3:4" ht="15" customHeight="1" x14ac:dyDescent="0.3">
      <c r="C654"/>
      <c r="D654"/>
    </row>
    <row r="655" spans="3:4" ht="15" customHeight="1" x14ac:dyDescent="0.3">
      <c r="C655"/>
      <c r="D655"/>
    </row>
    <row r="656" spans="3:4" ht="15" customHeight="1" x14ac:dyDescent="0.3">
      <c r="C656"/>
      <c r="D656"/>
    </row>
    <row r="657" spans="3:4" ht="15" customHeight="1" x14ac:dyDescent="0.3">
      <c r="C657"/>
      <c r="D657"/>
    </row>
    <row r="658" spans="3:4" ht="15" customHeight="1" x14ac:dyDescent="0.3">
      <c r="C658"/>
      <c r="D658"/>
    </row>
    <row r="659" spans="3:4" ht="15" customHeight="1" x14ac:dyDescent="0.3">
      <c r="C659"/>
      <c r="D659"/>
    </row>
    <row r="660" spans="3:4" ht="15" customHeight="1" x14ac:dyDescent="0.3">
      <c r="C660"/>
      <c r="D660"/>
    </row>
    <row r="661" spans="3:4" ht="15" customHeight="1" x14ac:dyDescent="0.3">
      <c r="C661"/>
      <c r="D661"/>
    </row>
    <row r="662" spans="3:4" ht="15" customHeight="1" x14ac:dyDescent="0.3">
      <c r="C662"/>
      <c r="D662"/>
    </row>
    <row r="663" spans="3:4" ht="15" customHeight="1" x14ac:dyDescent="0.3">
      <c r="C663"/>
      <c r="D663"/>
    </row>
    <row r="664" spans="3:4" ht="15" customHeight="1" x14ac:dyDescent="0.3">
      <c r="C664"/>
      <c r="D664"/>
    </row>
    <row r="665" spans="3:4" ht="15" customHeight="1" x14ac:dyDescent="0.3">
      <c r="C665"/>
      <c r="D665"/>
    </row>
    <row r="666" spans="3:4" ht="15" customHeight="1" x14ac:dyDescent="0.3">
      <c r="C666"/>
      <c r="D666"/>
    </row>
    <row r="667" spans="3:4" ht="15" customHeight="1" x14ac:dyDescent="0.3">
      <c r="C667"/>
      <c r="D667"/>
    </row>
    <row r="668" spans="3:4" ht="15" customHeight="1" x14ac:dyDescent="0.3">
      <c r="C668"/>
      <c r="D668"/>
    </row>
    <row r="669" spans="3:4" ht="15" customHeight="1" x14ac:dyDescent="0.3">
      <c r="C669"/>
      <c r="D669"/>
    </row>
    <row r="670" spans="3:4" ht="15" customHeight="1" x14ac:dyDescent="0.3">
      <c r="C670"/>
      <c r="D670"/>
    </row>
    <row r="671" spans="3:4" ht="15" customHeight="1" x14ac:dyDescent="0.3">
      <c r="C671"/>
      <c r="D671"/>
    </row>
    <row r="672" spans="3:4" ht="15" customHeight="1" x14ac:dyDescent="0.3">
      <c r="C672"/>
      <c r="D672"/>
    </row>
    <row r="673" spans="3:4" ht="15" customHeight="1" x14ac:dyDescent="0.3">
      <c r="C673"/>
      <c r="D673"/>
    </row>
    <row r="674" spans="3:4" ht="15" customHeight="1" x14ac:dyDescent="0.3">
      <c r="C674"/>
      <c r="D674"/>
    </row>
    <row r="675" spans="3:4" ht="15" customHeight="1" x14ac:dyDescent="0.3">
      <c r="C675"/>
      <c r="D675"/>
    </row>
    <row r="676" spans="3:4" ht="15" customHeight="1" x14ac:dyDescent="0.3">
      <c r="C676"/>
      <c r="D676"/>
    </row>
    <row r="677" spans="3:4" ht="15" customHeight="1" x14ac:dyDescent="0.3">
      <c r="C677"/>
      <c r="D677"/>
    </row>
    <row r="678" spans="3:4" ht="15" customHeight="1" x14ac:dyDescent="0.3">
      <c r="C678"/>
      <c r="D678"/>
    </row>
    <row r="679" spans="3:4" ht="15" customHeight="1" x14ac:dyDescent="0.3">
      <c r="C679"/>
      <c r="D679"/>
    </row>
    <row r="680" spans="3:4" ht="15" customHeight="1" x14ac:dyDescent="0.3">
      <c r="C680"/>
      <c r="D680"/>
    </row>
    <row r="681" spans="3:4" ht="15" customHeight="1" x14ac:dyDescent="0.3">
      <c r="C681"/>
      <c r="D681"/>
    </row>
    <row r="682" spans="3:4" ht="15" customHeight="1" x14ac:dyDescent="0.3">
      <c r="C682"/>
      <c r="D682"/>
    </row>
    <row r="683" spans="3:4" ht="15" customHeight="1" x14ac:dyDescent="0.3">
      <c r="C683"/>
      <c r="D683"/>
    </row>
    <row r="684" spans="3:4" ht="15" customHeight="1" x14ac:dyDescent="0.3">
      <c r="C684"/>
      <c r="D684"/>
    </row>
    <row r="685" spans="3:4" ht="15" customHeight="1" x14ac:dyDescent="0.3">
      <c r="C685"/>
      <c r="D685"/>
    </row>
    <row r="686" spans="3:4" ht="15" customHeight="1" x14ac:dyDescent="0.3">
      <c r="C686"/>
      <c r="D686"/>
    </row>
    <row r="687" spans="3:4" ht="15" customHeight="1" x14ac:dyDescent="0.3">
      <c r="C687"/>
      <c r="D687"/>
    </row>
    <row r="688" spans="3:4" ht="15" customHeight="1" x14ac:dyDescent="0.3">
      <c r="C688"/>
      <c r="D688"/>
    </row>
    <row r="689" spans="3:4" ht="15" customHeight="1" x14ac:dyDescent="0.3">
      <c r="C689"/>
      <c r="D689"/>
    </row>
    <row r="690" spans="3:4" ht="15" customHeight="1" x14ac:dyDescent="0.3">
      <c r="C690"/>
      <c r="D690"/>
    </row>
    <row r="691" spans="3:4" ht="15" customHeight="1" x14ac:dyDescent="0.3">
      <c r="C691"/>
      <c r="D691"/>
    </row>
    <row r="692" spans="3:4" ht="15" customHeight="1" x14ac:dyDescent="0.3">
      <c r="C692"/>
      <c r="D692"/>
    </row>
    <row r="693" spans="3:4" ht="15" customHeight="1" x14ac:dyDescent="0.3">
      <c r="C693"/>
      <c r="D693"/>
    </row>
    <row r="694" spans="3:4" ht="15" customHeight="1" x14ac:dyDescent="0.3">
      <c r="C694"/>
      <c r="D694"/>
    </row>
    <row r="695" spans="3:4" ht="15" customHeight="1" x14ac:dyDescent="0.3">
      <c r="C695"/>
      <c r="D695"/>
    </row>
    <row r="696" spans="3:4" ht="15" customHeight="1" x14ac:dyDescent="0.3">
      <c r="C696"/>
      <c r="D696"/>
    </row>
    <row r="697" spans="3:4" ht="15" customHeight="1" x14ac:dyDescent="0.3">
      <c r="C697"/>
      <c r="D697"/>
    </row>
    <row r="698" spans="3:4" ht="15" customHeight="1" x14ac:dyDescent="0.3">
      <c r="C698"/>
      <c r="D698"/>
    </row>
    <row r="699" spans="3:4" ht="15" customHeight="1" x14ac:dyDescent="0.3">
      <c r="C699"/>
      <c r="D699"/>
    </row>
    <row r="700" spans="3:4" ht="15" customHeight="1" x14ac:dyDescent="0.3">
      <c r="C700"/>
      <c r="D700"/>
    </row>
    <row r="701" spans="3:4" ht="15" customHeight="1" x14ac:dyDescent="0.3">
      <c r="C701"/>
      <c r="D701"/>
    </row>
    <row r="702" spans="3:4" ht="15" customHeight="1" x14ac:dyDescent="0.3">
      <c r="C702"/>
      <c r="D702"/>
    </row>
    <row r="703" spans="3:4" ht="15" customHeight="1" x14ac:dyDescent="0.3">
      <c r="C703"/>
      <c r="D703"/>
    </row>
    <row r="704" spans="3:4" ht="15" customHeight="1" x14ac:dyDescent="0.3">
      <c r="C704"/>
      <c r="D704"/>
    </row>
    <row r="705" spans="3:4" ht="15" customHeight="1" x14ac:dyDescent="0.3">
      <c r="C705"/>
      <c r="D705"/>
    </row>
    <row r="706" spans="3:4" ht="15" customHeight="1" x14ac:dyDescent="0.3">
      <c r="C706"/>
      <c r="D706"/>
    </row>
    <row r="707" spans="3:4" ht="15" customHeight="1" x14ac:dyDescent="0.3">
      <c r="C707"/>
      <c r="D707"/>
    </row>
    <row r="708" spans="3:4" ht="15" customHeight="1" x14ac:dyDescent="0.3">
      <c r="C708"/>
      <c r="D708"/>
    </row>
    <row r="709" spans="3:4" ht="15" customHeight="1" x14ac:dyDescent="0.3">
      <c r="C709"/>
      <c r="D709"/>
    </row>
    <row r="710" spans="3:4" ht="15" customHeight="1" x14ac:dyDescent="0.3">
      <c r="C710"/>
      <c r="D710"/>
    </row>
    <row r="711" spans="3:4" ht="15" customHeight="1" x14ac:dyDescent="0.3">
      <c r="C711"/>
      <c r="D711"/>
    </row>
    <row r="712" spans="3:4" ht="15" customHeight="1" x14ac:dyDescent="0.3">
      <c r="C712"/>
      <c r="D712"/>
    </row>
    <row r="713" spans="3:4" ht="15" customHeight="1" x14ac:dyDescent="0.3">
      <c r="C713"/>
      <c r="D713"/>
    </row>
    <row r="714" spans="3:4" ht="15" customHeight="1" x14ac:dyDescent="0.3">
      <c r="C714"/>
      <c r="D714"/>
    </row>
    <row r="715" spans="3:4" ht="15" customHeight="1" x14ac:dyDescent="0.3">
      <c r="C715"/>
      <c r="D715"/>
    </row>
    <row r="716" spans="3:4" ht="15" customHeight="1" x14ac:dyDescent="0.3">
      <c r="C716"/>
      <c r="D716"/>
    </row>
    <row r="717" spans="3:4" ht="15" customHeight="1" x14ac:dyDescent="0.3">
      <c r="C717"/>
      <c r="D717"/>
    </row>
    <row r="718" spans="3:4" ht="15" customHeight="1" x14ac:dyDescent="0.3">
      <c r="C718"/>
      <c r="D718"/>
    </row>
    <row r="719" spans="3:4" ht="15" customHeight="1" x14ac:dyDescent="0.3">
      <c r="C719"/>
      <c r="D719"/>
    </row>
    <row r="720" spans="3:4" ht="15" customHeight="1" x14ac:dyDescent="0.3">
      <c r="C720"/>
      <c r="D720"/>
    </row>
    <row r="721" spans="3:4" ht="15" customHeight="1" x14ac:dyDescent="0.3">
      <c r="C721"/>
      <c r="D721"/>
    </row>
    <row r="722" spans="3:4" ht="15" customHeight="1" x14ac:dyDescent="0.3">
      <c r="C722"/>
      <c r="D722"/>
    </row>
    <row r="723" spans="3:4" ht="15" customHeight="1" x14ac:dyDescent="0.3">
      <c r="C723"/>
      <c r="D723"/>
    </row>
    <row r="724" spans="3:4" ht="15" customHeight="1" x14ac:dyDescent="0.3">
      <c r="C724"/>
      <c r="D724"/>
    </row>
    <row r="725" spans="3:4" ht="15" customHeight="1" x14ac:dyDescent="0.3">
      <c r="C725"/>
      <c r="D725"/>
    </row>
    <row r="726" spans="3:4" ht="15" customHeight="1" x14ac:dyDescent="0.3">
      <c r="C726"/>
      <c r="D726"/>
    </row>
    <row r="727" spans="3:4" ht="15" customHeight="1" x14ac:dyDescent="0.3">
      <c r="C727"/>
      <c r="D727"/>
    </row>
    <row r="728" spans="3:4" ht="15" customHeight="1" x14ac:dyDescent="0.3">
      <c r="C728"/>
      <c r="D728"/>
    </row>
    <row r="729" spans="3:4" ht="15" customHeight="1" x14ac:dyDescent="0.3">
      <c r="C729"/>
      <c r="D729"/>
    </row>
    <row r="730" spans="3:4" ht="15" customHeight="1" x14ac:dyDescent="0.3">
      <c r="C730"/>
      <c r="D730"/>
    </row>
    <row r="731" spans="3:4" ht="15" customHeight="1" x14ac:dyDescent="0.3">
      <c r="C731"/>
      <c r="D731"/>
    </row>
    <row r="732" spans="3:4" ht="15" customHeight="1" x14ac:dyDescent="0.3">
      <c r="C732"/>
      <c r="D732"/>
    </row>
    <row r="733" spans="3:4" ht="15" customHeight="1" x14ac:dyDescent="0.3">
      <c r="C733"/>
      <c r="D733"/>
    </row>
    <row r="734" spans="3:4" ht="15" customHeight="1" x14ac:dyDescent="0.3">
      <c r="C734"/>
      <c r="D734"/>
    </row>
    <row r="735" spans="3:4" ht="15" customHeight="1" x14ac:dyDescent="0.3">
      <c r="C735"/>
      <c r="D735"/>
    </row>
    <row r="736" spans="3:4" ht="15" customHeight="1" x14ac:dyDescent="0.3">
      <c r="C736"/>
      <c r="D736"/>
    </row>
    <row r="737" spans="3:4" ht="15" customHeight="1" x14ac:dyDescent="0.3">
      <c r="C737"/>
      <c r="D737"/>
    </row>
    <row r="738" spans="3:4" ht="15" customHeight="1" x14ac:dyDescent="0.3">
      <c r="C738"/>
      <c r="D738"/>
    </row>
    <row r="739" spans="3:4" ht="15" customHeight="1" x14ac:dyDescent="0.3">
      <c r="C739"/>
      <c r="D739"/>
    </row>
    <row r="740" spans="3:4" ht="15" customHeight="1" x14ac:dyDescent="0.3">
      <c r="C740"/>
      <c r="D740"/>
    </row>
    <row r="741" spans="3:4" ht="15" customHeight="1" x14ac:dyDescent="0.3">
      <c r="C741"/>
      <c r="D741"/>
    </row>
    <row r="742" spans="3:4" ht="15" customHeight="1" x14ac:dyDescent="0.3">
      <c r="C742"/>
      <c r="D742"/>
    </row>
    <row r="743" spans="3:4" ht="15" customHeight="1" x14ac:dyDescent="0.3">
      <c r="C743"/>
      <c r="D743"/>
    </row>
    <row r="744" spans="3:4" ht="15" customHeight="1" x14ac:dyDescent="0.3">
      <c r="C744"/>
      <c r="D744"/>
    </row>
    <row r="745" spans="3:4" ht="15" customHeight="1" x14ac:dyDescent="0.3">
      <c r="C745"/>
      <c r="D745"/>
    </row>
    <row r="746" spans="3:4" ht="15" customHeight="1" x14ac:dyDescent="0.3">
      <c r="C746"/>
      <c r="D746"/>
    </row>
    <row r="747" spans="3:4" ht="15" customHeight="1" x14ac:dyDescent="0.3">
      <c r="C747"/>
      <c r="D747"/>
    </row>
    <row r="748" spans="3:4" ht="15" customHeight="1" x14ac:dyDescent="0.3">
      <c r="C748"/>
      <c r="D748"/>
    </row>
    <row r="749" spans="3:4" ht="15" customHeight="1" x14ac:dyDescent="0.3">
      <c r="C749"/>
      <c r="D749"/>
    </row>
    <row r="750" spans="3:4" ht="15" customHeight="1" x14ac:dyDescent="0.3">
      <c r="C750"/>
      <c r="D750"/>
    </row>
    <row r="751" spans="3:4" ht="15" customHeight="1" x14ac:dyDescent="0.3">
      <c r="C751"/>
      <c r="D751"/>
    </row>
    <row r="752" spans="3:4" ht="15" customHeight="1" x14ac:dyDescent="0.3">
      <c r="C752"/>
      <c r="D752"/>
    </row>
    <row r="753" spans="3:4" ht="15" customHeight="1" x14ac:dyDescent="0.3">
      <c r="C753"/>
      <c r="D753"/>
    </row>
    <row r="754" spans="3:4" ht="15" customHeight="1" x14ac:dyDescent="0.3">
      <c r="C754"/>
      <c r="D754"/>
    </row>
    <row r="755" spans="3:4" ht="15" customHeight="1" x14ac:dyDescent="0.3">
      <c r="C755"/>
      <c r="D755"/>
    </row>
    <row r="756" spans="3:4" ht="15" customHeight="1" x14ac:dyDescent="0.3">
      <c r="C756"/>
      <c r="D756"/>
    </row>
    <row r="757" spans="3:4" ht="15" customHeight="1" x14ac:dyDescent="0.3">
      <c r="C757"/>
      <c r="D757"/>
    </row>
    <row r="758" spans="3:4" ht="15" customHeight="1" x14ac:dyDescent="0.3">
      <c r="C758"/>
      <c r="D758"/>
    </row>
    <row r="759" spans="3:4" ht="15" customHeight="1" x14ac:dyDescent="0.3">
      <c r="C759"/>
      <c r="D759"/>
    </row>
    <row r="760" spans="3:4" ht="15" customHeight="1" x14ac:dyDescent="0.3">
      <c r="C760"/>
      <c r="D760"/>
    </row>
    <row r="761" spans="3:4" ht="15" customHeight="1" x14ac:dyDescent="0.3">
      <c r="C761"/>
      <c r="D761"/>
    </row>
    <row r="762" spans="3:4" ht="15" customHeight="1" x14ac:dyDescent="0.3">
      <c r="C762"/>
      <c r="D762"/>
    </row>
    <row r="763" spans="3:4" ht="15" customHeight="1" x14ac:dyDescent="0.3">
      <c r="C763"/>
      <c r="D763"/>
    </row>
    <row r="764" spans="3:4" ht="15" customHeight="1" x14ac:dyDescent="0.3">
      <c r="C764"/>
      <c r="D764"/>
    </row>
    <row r="765" spans="3:4" ht="15" customHeight="1" x14ac:dyDescent="0.3">
      <c r="C765"/>
      <c r="D765"/>
    </row>
    <row r="766" spans="3:4" ht="15" customHeight="1" x14ac:dyDescent="0.3">
      <c r="C766"/>
      <c r="D766"/>
    </row>
    <row r="767" spans="3:4" ht="15" customHeight="1" x14ac:dyDescent="0.3">
      <c r="C767"/>
      <c r="D767"/>
    </row>
    <row r="768" spans="3:4" ht="15" customHeight="1" x14ac:dyDescent="0.3">
      <c r="C768"/>
      <c r="D768"/>
    </row>
    <row r="769" spans="3:4" ht="15" customHeight="1" x14ac:dyDescent="0.3">
      <c r="C769"/>
      <c r="D769"/>
    </row>
    <row r="770" spans="3:4" ht="15" customHeight="1" x14ac:dyDescent="0.3">
      <c r="C770"/>
      <c r="D770"/>
    </row>
    <row r="771" spans="3:4" ht="15" customHeight="1" x14ac:dyDescent="0.3">
      <c r="C771"/>
      <c r="D771"/>
    </row>
    <row r="772" spans="3:4" ht="15" customHeight="1" x14ac:dyDescent="0.3">
      <c r="C772"/>
      <c r="D772"/>
    </row>
    <row r="773" spans="3:4" ht="15" customHeight="1" x14ac:dyDescent="0.3">
      <c r="C773"/>
      <c r="D773"/>
    </row>
    <row r="774" spans="3:4" ht="15" customHeight="1" x14ac:dyDescent="0.3">
      <c r="C774"/>
      <c r="D774"/>
    </row>
    <row r="775" spans="3:4" ht="15" customHeight="1" x14ac:dyDescent="0.3">
      <c r="C775"/>
      <c r="D775"/>
    </row>
    <row r="776" spans="3:4" ht="15" customHeight="1" x14ac:dyDescent="0.3">
      <c r="C776"/>
      <c r="D776"/>
    </row>
    <row r="777" spans="3:4" ht="15" customHeight="1" x14ac:dyDescent="0.3">
      <c r="C777"/>
      <c r="D777"/>
    </row>
    <row r="778" spans="3:4" ht="15" customHeight="1" x14ac:dyDescent="0.3">
      <c r="C778"/>
      <c r="D778"/>
    </row>
    <row r="779" spans="3:4" ht="15" customHeight="1" x14ac:dyDescent="0.3">
      <c r="C779"/>
      <c r="D779"/>
    </row>
    <row r="780" spans="3:4" ht="15" customHeight="1" x14ac:dyDescent="0.3">
      <c r="C780"/>
      <c r="D780"/>
    </row>
    <row r="781" spans="3:4" ht="15" customHeight="1" x14ac:dyDescent="0.3">
      <c r="C781"/>
      <c r="D781"/>
    </row>
    <row r="782" spans="3:4" ht="15" customHeight="1" x14ac:dyDescent="0.3">
      <c r="C782"/>
      <c r="D782"/>
    </row>
    <row r="783" spans="3:4" ht="15" customHeight="1" x14ac:dyDescent="0.3">
      <c r="C783"/>
      <c r="D783"/>
    </row>
    <row r="784" spans="3:4" ht="15" customHeight="1" x14ac:dyDescent="0.3">
      <c r="C784"/>
      <c r="D784"/>
    </row>
    <row r="785" spans="3:4" ht="15" customHeight="1" x14ac:dyDescent="0.3">
      <c r="C785"/>
      <c r="D785"/>
    </row>
    <row r="786" spans="3:4" ht="15" customHeight="1" x14ac:dyDescent="0.3">
      <c r="C786"/>
      <c r="D786"/>
    </row>
    <row r="787" spans="3:4" ht="15" customHeight="1" x14ac:dyDescent="0.3">
      <c r="C787"/>
      <c r="D787"/>
    </row>
    <row r="788" spans="3:4" ht="15" customHeight="1" x14ac:dyDescent="0.3">
      <c r="C788"/>
      <c r="D788"/>
    </row>
    <row r="789" spans="3:4" ht="15" customHeight="1" x14ac:dyDescent="0.3">
      <c r="C789"/>
      <c r="D789"/>
    </row>
    <row r="790" spans="3:4" ht="15" customHeight="1" x14ac:dyDescent="0.3">
      <c r="C790"/>
      <c r="D790"/>
    </row>
    <row r="791" spans="3:4" ht="15" customHeight="1" x14ac:dyDescent="0.3">
      <c r="C791"/>
      <c r="D791"/>
    </row>
    <row r="792" spans="3:4" ht="15" customHeight="1" x14ac:dyDescent="0.3">
      <c r="C792"/>
      <c r="D792"/>
    </row>
    <row r="793" spans="3:4" ht="15" customHeight="1" x14ac:dyDescent="0.3">
      <c r="C793"/>
      <c r="D793"/>
    </row>
    <row r="794" spans="3:4" ht="15" customHeight="1" x14ac:dyDescent="0.3">
      <c r="C794"/>
      <c r="D794"/>
    </row>
    <row r="795" spans="3:4" ht="15" customHeight="1" x14ac:dyDescent="0.3">
      <c r="C795"/>
      <c r="D795"/>
    </row>
    <row r="796" spans="3:4" ht="15" customHeight="1" x14ac:dyDescent="0.3">
      <c r="C796"/>
      <c r="D796"/>
    </row>
    <row r="797" spans="3:4" ht="15" customHeight="1" x14ac:dyDescent="0.3">
      <c r="C797"/>
      <c r="D797"/>
    </row>
    <row r="798" spans="3:4" ht="15" customHeight="1" x14ac:dyDescent="0.3">
      <c r="C798"/>
      <c r="D798"/>
    </row>
    <row r="799" spans="3:4" ht="15" customHeight="1" x14ac:dyDescent="0.3">
      <c r="C799"/>
      <c r="D799"/>
    </row>
    <row r="800" spans="3:4" ht="15" customHeight="1" x14ac:dyDescent="0.3">
      <c r="C800"/>
      <c r="D800"/>
    </row>
    <row r="801" spans="3:4" ht="15" customHeight="1" x14ac:dyDescent="0.3">
      <c r="C801"/>
      <c r="D801"/>
    </row>
    <row r="802" spans="3:4" ht="15" customHeight="1" x14ac:dyDescent="0.3">
      <c r="C802"/>
      <c r="D802"/>
    </row>
    <row r="803" spans="3:4" ht="15" customHeight="1" x14ac:dyDescent="0.3">
      <c r="C803"/>
      <c r="D803"/>
    </row>
    <row r="804" spans="3:4" ht="15" customHeight="1" x14ac:dyDescent="0.3">
      <c r="C804"/>
      <c r="D804"/>
    </row>
    <row r="805" spans="3:4" ht="15" customHeight="1" x14ac:dyDescent="0.3">
      <c r="C805"/>
      <c r="D805"/>
    </row>
    <row r="806" spans="3:4" ht="15" customHeight="1" x14ac:dyDescent="0.3">
      <c r="C806"/>
      <c r="D806"/>
    </row>
    <row r="807" spans="3:4" ht="15" customHeight="1" x14ac:dyDescent="0.3">
      <c r="C807"/>
      <c r="D807"/>
    </row>
    <row r="808" spans="3:4" ht="15" customHeight="1" x14ac:dyDescent="0.3">
      <c r="C808"/>
      <c r="D808"/>
    </row>
    <row r="809" spans="3:4" ht="15" customHeight="1" x14ac:dyDescent="0.3">
      <c r="C809"/>
      <c r="D809"/>
    </row>
    <row r="810" spans="3:4" ht="15" customHeight="1" x14ac:dyDescent="0.3">
      <c r="C810"/>
      <c r="D810"/>
    </row>
    <row r="811" spans="3:4" ht="15" customHeight="1" x14ac:dyDescent="0.3">
      <c r="C811"/>
      <c r="D811"/>
    </row>
    <row r="812" spans="3:4" ht="15" customHeight="1" x14ac:dyDescent="0.3">
      <c r="C812"/>
      <c r="D812"/>
    </row>
    <row r="813" spans="3:4" ht="15" customHeight="1" x14ac:dyDescent="0.3">
      <c r="C813"/>
      <c r="D813"/>
    </row>
    <row r="814" spans="3:4" ht="15" customHeight="1" x14ac:dyDescent="0.3">
      <c r="C814"/>
      <c r="D814"/>
    </row>
    <row r="815" spans="3:4" ht="15" customHeight="1" x14ac:dyDescent="0.3">
      <c r="C815"/>
      <c r="D815"/>
    </row>
    <row r="816" spans="3:4" ht="15" customHeight="1" x14ac:dyDescent="0.3">
      <c r="C816"/>
      <c r="D816"/>
    </row>
    <row r="817" spans="3:4" ht="15" customHeight="1" x14ac:dyDescent="0.3">
      <c r="C817"/>
      <c r="D817"/>
    </row>
    <row r="818" spans="3:4" ht="15" customHeight="1" x14ac:dyDescent="0.3">
      <c r="C818"/>
      <c r="D818"/>
    </row>
    <row r="819" spans="3:4" ht="15" customHeight="1" x14ac:dyDescent="0.3">
      <c r="C819"/>
      <c r="D819"/>
    </row>
    <row r="820" spans="3:4" ht="15" customHeight="1" x14ac:dyDescent="0.3">
      <c r="C820"/>
      <c r="D820"/>
    </row>
    <row r="821" spans="3:4" ht="15" customHeight="1" x14ac:dyDescent="0.3">
      <c r="C821"/>
      <c r="D821"/>
    </row>
    <row r="822" spans="3:4" ht="15" customHeight="1" x14ac:dyDescent="0.3">
      <c r="C822"/>
      <c r="D822"/>
    </row>
    <row r="823" spans="3:4" ht="15" customHeight="1" x14ac:dyDescent="0.3">
      <c r="C823"/>
      <c r="D823"/>
    </row>
    <row r="824" spans="3:4" ht="15" customHeight="1" x14ac:dyDescent="0.3">
      <c r="C824"/>
      <c r="D824"/>
    </row>
    <row r="825" spans="3:4" ht="15" customHeight="1" x14ac:dyDescent="0.3">
      <c r="C825"/>
      <c r="D825"/>
    </row>
    <row r="826" spans="3:4" ht="15" customHeight="1" x14ac:dyDescent="0.3">
      <c r="C826"/>
      <c r="D826"/>
    </row>
    <row r="827" spans="3:4" ht="15" customHeight="1" x14ac:dyDescent="0.3">
      <c r="C827"/>
      <c r="D827"/>
    </row>
    <row r="828" spans="3:4" ht="15" customHeight="1" x14ac:dyDescent="0.3">
      <c r="C828"/>
      <c r="D828"/>
    </row>
    <row r="829" spans="3:4" ht="15" customHeight="1" x14ac:dyDescent="0.3">
      <c r="C829"/>
      <c r="D829"/>
    </row>
    <row r="830" spans="3:4" ht="15" customHeight="1" x14ac:dyDescent="0.3">
      <c r="C830"/>
      <c r="D830"/>
    </row>
    <row r="831" spans="3:4" ht="15" customHeight="1" x14ac:dyDescent="0.3">
      <c r="C831"/>
      <c r="D831"/>
    </row>
    <row r="832" spans="3:4" ht="15" customHeight="1" x14ac:dyDescent="0.3">
      <c r="C832"/>
      <c r="D832"/>
    </row>
    <row r="833" spans="3:4" ht="15" customHeight="1" x14ac:dyDescent="0.3">
      <c r="C833"/>
      <c r="D833"/>
    </row>
    <row r="834" spans="3:4" ht="15" customHeight="1" x14ac:dyDescent="0.3">
      <c r="C834"/>
      <c r="D834"/>
    </row>
    <row r="835" spans="3:4" ht="15" customHeight="1" x14ac:dyDescent="0.3">
      <c r="C835"/>
      <c r="D835"/>
    </row>
    <row r="836" spans="3:4" ht="15" customHeight="1" x14ac:dyDescent="0.3">
      <c r="C836"/>
      <c r="D836"/>
    </row>
    <row r="837" spans="3:4" ht="15" customHeight="1" x14ac:dyDescent="0.3">
      <c r="C837"/>
      <c r="D837"/>
    </row>
    <row r="838" spans="3:4" ht="15" customHeight="1" x14ac:dyDescent="0.3">
      <c r="C838"/>
      <c r="D838"/>
    </row>
    <row r="839" spans="3:4" ht="15" customHeight="1" x14ac:dyDescent="0.3">
      <c r="C839"/>
      <c r="D839"/>
    </row>
    <row r="840" spans="3:4" ht="15" customHeight="1" x14ac:dyDescent="0.3">
      <c r="C840"/>
      <c r="D840"/>
    </row>
    <row r="841" spans="3:4" ht="15" customHeight="1" x14ac:dyDescent="0.3">
      <c r="C841"/>
      <c r="D841"/>
    </row>
    <row r="842" spans="3:4" ht="15" customHeight="1" x14ac:dyDescent="0.3">
      <c r="C842"/>
      <c r="D842"/>
    </row>
    <row r="843" spans="3:4" ht="15" customHeight="1" x14ac:dyDescent="0.3">
      <c r="C843"/>
      <c r="D843"/>
    </row>
    <row r="844" spans="3:4" ht="15" customHeight="1" x14ac:dyDescent="0.3">
      <c r="C844"/>
      <c r="D844"/>
    </row>
    <row r="845" spans="3:4" ht="15" customHeight="1" x14ac:dyDescent="0.3">
      <c r="C845"/>
      <c r="D845"/>
    </row>
    <row r="846" spans="3:4" ht="15" customHeight="1" x14ac:dyDescent="0.3">
      <c r="C846"/>
      <c r="D846"/>
    </row>
    <row r="847" spans="3:4" ht="15" customHeight="1" x14ac:dyDescent="0.3">
      <c r="C847"/>
      <c r="D847"/>
    </row>
    <row r="848" spans="3:4" ht="15" customHeight="1" x14ac:dyDescent="0.3">
      <c r="C848"/>
      <c r="D848"/>
    </row>
    <row r="849" spans="3:4" ht="15" customHeight="1" x14ac:dyDescent="0.3">
      <c r="C849"/>
      <c r="D849"/>
    </row>
    <row r="850" spans="3:4" ht="15" customHeight="1" x14ac:dyDescent="0.3">
      <c r="C850"/>
      <c r="D850"/>
    </row>
    <row r="851" spans="3:4" ht="15" customHeight="1" x14ac:dyDescent="0.3">
      <c r="C851"/>
      <c r="D851"/>
    </row>
    <row r="852" spans="3:4" ht="15" customHeight="1" x14ac:dyDescent="0.3">
      <c r="C852"/>
      <c r="D852"/>
    </row>
    <row r="853" spans="3:4" ht="15" customHeight="1" x14ac:dyDescent="0.3">
      <c r="C853"/>
      <c r="D853"/>
    </row>
    <row r="854" spans="3:4" ht="15" customHeight="1" x14ac:dyDescent="0.3">
      <c r="C854"/>
      <c r="D854"/>
    </row>
    <row r="855" spans="3:4" ht="15" customHeight="1" x14ac:dyDescent="0.3">
      <c r="C855"/>
      <c r="D855"/>
    </row>
    <row r="856" spans="3:4" ht="15" customHeight="1" x14ac:dyDescent="0.3">
      <c r="C856"/>
      <c r="D856"/>
    </row>
    <row r="857" spans="3:4" ht="15" customHeight="1" x14ac:dyDescent="0.3">
      <c r="C857"/>
      <c r="D857"/>
    </row>
    <row r="858" spans="3:4" ht="15" customHeight="1" x14ac:dyDescent="0.3">
      <c r="C858"/>
      <c r="D858"/>
    </row>
    <row r="859" spans="3:4" ht="15" customHeight="1" x14ac:dyDescent="0.3">
      <c r="C859"/>
      <c r="D859"/>
    </row>
    <row r="860" spans="3:4" ht="15" customHeight="1" x14ac:dyDescent="0.3">
      <c r="C860"/>
      <c r="D860"/>
    </row>
    <row r="861" spans="3:4" ht="15" customHeight="1" x14ac:dyDescent="0.3">
      <c r="C861"/>
      <c r="D861"/>
    </row>
    <row r="862" spans="3:4" ht="15" customHeight="1" x14ac:dyDescent="0.3">
      <c r="C862"/>
      <c r="D862"/>
    </row>
    <row r="863" spans="3:4" ht="15" customHeight="1" x14ac:dyDescent="0.3">
      <c r="C863"/>
      <c r="D863"/>
    </row>
    <row r="864" spans="3:4" ht="15" customHeight="1" x14ac:dyDescent="0.3">
      <c r="C864"/>
      <c r="D864"/>
    </row>
    <row r="865" spans="3:4" ht="15" customHeight="1" x14ac:dyDescent="0.3">
      <c r="C865"/>
      <c r="D865"/>
    </row>
    <row r="866" spans="3:4" ht="15" customHeight="1" x14ac:dyDescent="0.3">
      <c r="C866"/>
      <c r="D866"/>
    </row>
    <row r="867" spans="3:4" ht="15" customHeight="1" x14ac:dyDescent="0.3">
      <c r="C867"/>
      <c r="D867"/>
    </row>
    <row r="868" spans="3:4" ht="15" customHeight="1" x14ac:dyDescent="0.3">
      <c r="C868"/>
      <c r="D868"/>
    </row>
    <row r="869" spans="3:4" ht="15" customHeight="1" x14ac:dyDescent="0.3">
      <c r="C869"/>
      <c r="D869"/>
    </row>
    <row r="870" spans="3:4" ht="15" customHeight="1" x14ac:dyDescent="0.3">
      <c r="C870"/>
      <c r="D870"/>
    </row>
    <row r="871" spans="3:4" ht="15" customHeight="1" x14ac:dyDescent="0.3">
      <c r="C871"/>
      <c r="D871"/>
    </row>
    <row r="872" spans="3:4" ht="15" customHeight="1" x14ac:dyDescent="0.3">
      <c r="C872"/>
      <c r="D872"/>
    </row>
    <row r="873" spans="3:4" ht="15" customHeight="1" x14ac:dyDescent="0.3">
      <c r="C873"/>
      <c r="D873"/>
    </row>
    <row r="874" spans="3:4" ht="15" customHeight="1" x14ac:dyDescent="0.3">
      <c r="C874"/>
      <c r="D874"/>
    </row>
    <row r="875" spans="3:4" ht="15" customHeight="1" x14ac:dyDescent="0.3">
      <c r="C875"/>
      <c r="D875"/>
    </row>
    <row r="876" spans="3:4" ht="15" customHeight="1" x14ac:dyDescent="0.3">
      <c r="C876"/>
      <c r="D876"/>
    </row>
    <row r="877" spans="3:4" ht="15" customHeight="1" x14ac:dyDescent="0.3">
      <c r="C877"/>
      <c r="D877"/>
    </row>
    <row r="878" spans="3:4" ht="15" customHeight="1" x14ac:dyDescent="0.3">
      <c r="C878"/>
      <c r="D878"/>
    </row>
    <row r="879" spans="3:4" ht="15" customHeight="1" x14ac:dyDescent="0.3">
      <c r="C879"/>
      <c r="D879"/>
    </row>
    <row r="880" spans="3:4" ht="15" customHeight="1" x14ac:dyDescent="0.3">
      <c r="C880"/>
      <c r="D880"/>
    </row>
    <row r="881" spans="3:4" ht="15" customHeight="1" x14ac:dyDescent="0.3">
      <c r="C881"/>
      <c r="D881"/>
    </row>
    <row r="882" spans="3:4" ht="15" customHeight="1" x14ac:dyDescent="0.3">
      <c r="C882"/>
      <c r="D882"/>
    </row>
    <row r="883" spans="3:4" ht="15" customHeight="1" x14ac:dyDescent="0.3">
      <c r="C883"/>
      <c r="D883"/>
    </row>
    <row r="884" spans="3:4" ht="15" customHeight="1" x14ac:dyDescent="0.3">
      <c r="C884"/>
      <c r="D884"/>
    </row>
    <row r="885" spans="3:4" ht="15" customHeight="1" x14ac:dyDescent="0.3">
      <c r="C885"/>
      <c r="D885"/>
    </row>
    <row r="886" spans="3:4" ht="15" customHeight="1" x14ac:dyDescent="0.3">
      <c r="C886"/>
      <c r="D886"/>
    </row>
    <row r="887" spans="3:4" ht="15" customHeight="1" x14ac:dyDescent="0.3">
      <c r="C887"/>
      <c r="D887"/>
    </row>
    <row r="888" spans="3:4" ht="15" customHeight="1" x14ac:dyDescent="0.3">
      <c r="C888"/>
      <c r="D888"/>
    </row>
    <row r="889" spans="3:4" ht="15" customHeight="1" x14ac:dyDescent="0.3">
      <c r="C889"/>
      <c r="D889"/>
    </row>
    <row r="890" spans="3:4" ht="15" customHeight="1" x14ac:dyDescent="0.3">
      <c r="C890"/>
      <c r="D890"/>
    </row>
    <row r="891" spans="3:4" ht="15" customHeight="1" x14ac:dyDescent="0.3">
      <c r="C891"/>
      <c r="D891"/>
    </row>
    <row r="892" spans="3:4" ht="15" customHeight="1" x14ac:dyDescent="0.3">
      <c r="C892"/>
      <c r="D892"/>
    </row>
    <row r="893" spans="3:4" ht="15" customHeight="1" x14ac:dyDescent="0.3">
      <c r="C893"/>
      <c r="D893"/>
    </row>
    <row r="894" spans="3:4" ht="15" customHeight="1" x14ac:dyDescent="0.3">
      <c r="C894"/>
      <c r="D894"/>
    </row>
    <row r="895" spans="3:4" ht="15" customHeight="1" x14ac:dyDescent="0.3">
      <c r="C895"/>
      <c r="D895"/>
    </row>
    <row r="896" spans="3:4" ht="15" customHeight="1" x14ac:dyDescent="0.3">
      <c r="C896"/>
      <c r="D896"/>
    </row>
    <row r="897" spans="3:4" ht="15" customHeight="1" x14ac:dyDescent="0.3">
      <c r="C897"/>
      <c r="D897"/>
    </row>
    <row r="898" spans="3:4" ht="15" customHeight="1" x14ac:dyDescent="0.3">
      <c r="C898"/>
      <c r="D898"/>
    </row>
    <row r="899" spans="3:4" ht="15" customHeight="1" x14ac:dyDescent="0.3">
      <c r="C899"/>
      <c r="D899"/>
    </row>
    <row r="900" spans="3:4" ht="15" customHeight="1" x14ac:dyDescent="0.3">
      <c r="C900"/>
      <c r="D900"/>
    </row>
    <row r="901" spans="3:4" ht="15" customHeight="1" x14ac:dyDescent="0.3">
      <c r="C901"/>
      <c r="D901"/>
    </row>
    <row r="902" spans="3:4" ht="15" customHeight="1" x14ac:dyDescent="0.3">
      <c r="C902"/>
      <c r="D902"/>
    </row>
    <row r="903" spans="3:4" ht="15" customHeight="1" x14ac:dyDescent="0.3">
      <c r="C903"/>
      <c r="D903"/>
    </row>
    <row r="904" spans="3:4" ht="15" customHeight="1" x14ac:dyDescent="0.3">
      <c r="C904"/>
      <c r="D904"/>
    </row>
    <row r="905" spans="3:4" ht="15" customHeight="1" x14ac:dyDescent="0.3">
      <c r="C905"/>
      <c r="D905"/>
    </row>
    <row r="906" spans="3:4" ht="15" customHeight="1" x14ac:dyDescent="0.3">
      <c r="C906"/>
      <c r="D906"/>
    </row>
    <row r="907" spans="3:4" ht="15" customHeight="1" x14ac:dyDescent="0.3">
      <c r="C907"/>
      <c r="D907"/>
    </row>
    <row r="908" spans="3:4" ht="15" customHeight="1" x14ac:dyDescent="0.3">
      <c r="C908"/>
      <c r="D908"/>
    </row>
    <row r="909" spans="3:4" ht="15" customHeight="1" x14ac:dyDescent="0.3">
      <c r="C909"/>
      <c r="D909"/>
    </row>
    <row r="910" spans="3:4" ht="15" customHeight="1" x14ac:dyDescent="0.3">
      <c r="C910"/>
      <c r="D910"/>
    </row>
    <row r="911" spans="3:4" ht="15" customHeight="1" x14ac:dyDescent="0.3">
      <c r="C911"/>
      <c r="D911"/>
    </row>
    <row r="912" spans="3:4" ht="15" customHeight="1" x14ac:dyDescent="0.3">
      <c r="C912"/>
      <c r="D912"/>
    </row>
    <row r="913" spans="3:4" ht="15" customHeight="1" x14ac:dyDescent="0.3">
      <c r="C913"/>
      <c r="D913"/>
    </row>
    <row r="914" spans="3:4" ht="15" customHeight="1" x14ac:dyDescent="0.3">
      <c r="C914"/>
      <c r="D914"/>
    </row>
    <row r="915" spans="3:4" ht="15" customHeight="1" x14ac:dyDescent="0.3">
      <c r="C915"/>
      <c r="D915"/>
    </row>
    <row r="916" spans="3:4" ht="15" customHeight="1" x14ac:dyDescent="0.3">
      <c r="C916"/>
      <c r="D916"/>
    </row>
    <row r="917" spans="3:4" ht="15" customHeight="1" x14ac:dyDescent="0.3">
      <c r="C917"/>
      <c r="D917"/>
    </row>
    <row r="918" spans="3:4" ht="15" customHeight="1" x14ac:dyDescent="0.3">
      <c r="C918"/>
      <c r="D918"/>
    </row>
    <row r="919" spans="3:4" ht="15" customHeight="1" x14ac:dyDescent="0.3">
      <c r="C919"/>
      <c r="D919"/>
    </row>
    <row r="920" spans="3:4" ht="15" customHeight="1" x14ac:dyDescent="0.3">
      <c r="C920"/>
      <c r="D920"/>
    </row>
    <row r="921" spans="3:4" ht="15" customHeight="1" x14ac:dyDescent="0.3">
      <c r="C921"/>
      <c r="D921"/>
    </row>
    <row r="922" spans="3:4" ht="15" customHeight="1" x14ac:dyDescent="0.3">
      <c r="C922"/>
      <c r="D922"/>
    </row>
    <row r="923" spans="3:4" ht="15" customHeight="1" x14ac:dyDescent="0.3">
      <c r="C923"/>
      <c r="D923"/>
    </row>
    <row r="924" spans="3:4" ht="15" customHeight="1" x14ac:dyDescent="0.3">
      <c r="C924"/>
      <c r="D924"/>
    </row>
    <row r="925" spans="3:4" ht="15" customHeight="1" x14ac:dyDescent="0.3">
      <c r="C925"/>
      <c r="D925"/>
    </row>
    <row r="926" spans="3:4" ht="15" customHeight="1" x14ac:dyDescent="0.3">
      <c r="C926"/>
      <c r="D926"/>
    </row>
    <row r="927" spans="3:4" ht="15" customHeight="1" x14ac:dyDescent="0.3">
      <c r="C927"/>
      <c r="D927"/>
    </row>
    <row r="928" spans="3:4" ht="15" customHeight="1" x14ac:dyDescent="0.3">
      <c r="C928"/>
      <c r="D928"/>
    </row>
    <row r="929" spans="3:4" ht="15" customHeight="1" x14ac:dyDescent="0.3">
      <c r="C929"/>
      <c r="D929"/>
    </row>
    <row r="930" spans="3:4" ht="15" customHeight="1" x14ac:dyDescent="0.3">
      <c r="C930"/>
      <c r="D930"/>
    </row>
    <row r="931" spans="3:4" ht="15" customHeight="1" x14ac:dyDescent="0.3">
      <c r="C931"/>
      <c r="D931"/>
    </row>
    <row r="932" spans="3:4" ht="15" customHeight="1" x14ac:dyDescent="0.3">
      <c r="C932"/>
      <c r="D932"/>
    </row>
    <row r="933" spans="3:4" ht="15" customHeight="1" x14ac:dyDescent="0.3">
      <c r="C933"/>
      <c r="D933"/>
    </row>
    <row r="934" spans="3:4" ht="15" customHeight="1" x14ac:dyDescent="0.3">
      <c r="C934"/>
      <c r="D934"/>
    </row>
    <row r="935" spans="3:4" ht="15" customHeight="1" x14ac:dyDescent="0.3">
      <c r="C935"/>
      <c r="D935"/>
    </row>
    <row r="936" spans="3:4" ht="15" customHeight="1" x14ac:dyDescent="0.3">
      <c r="C936"/>
      <c r="D936"/>
    </row>
    <row r="937" spans="3:4" ht="15" customHeight="1" x14ac:dyDescent="0.3">
      <c r="C937"/>
      <c r="D937"/>
    </row>
    <row r="938" spans="3:4" ht="15" customHeight="1" x14ac:dyDescent="0.3">
      <c r="C938"/>
      <c r="D938"/>
    </row>
    <row r="939" spans="3:4" ht="15" customHeight="1" x14ac:dyDescent="0.3">
      <c r="C939"/>
      <c r="D939"/>
    </row>
    <row r="940" spans="3:4" ht="15" customHeight="1" x14ac:dyDescent="0.3">
      <c r="C940"/>
      <c r="D940"/>
    </row>
    <row r="941" spans="3:4" ht="15" customHeight="1" x14ac:dyDescent="0.3">
      <c r="C941"/>
      <c r="D941"/>
    </row>
    <row r="942" spans="3:4" ht="15" customHeight="1" x14ac:dyDescent="0.3">
      <c r="C942"/>
      <c r="D942"/>
    </row>
    <row r="943" spans="3:4" ht="15" customHeight="1" x14ac:dyDescent="0.3">
      <c r="C943"/>
      <c r="D943"/>
    </row>
    <row r="944" spans="3:4" ht="15" customHeight="1" x14ac:dyDescent="0.3">
      <c r="C944"/>
      <c r="D944"/>
    </row>
    <row r="945" spans="3:4" ht="15" customHeight="1" x14ac:dyDescent="0.3">
      <c r="C945"/>
      <c r="D945"/>
    </row>
    <row r="946" spans="3:4" ht="15" customHeight="1" x14ac:dyDescent="0.3">
      <c r="C946"/>
      <c r="D946"/>
    </row>
    <row r="947" spans="3:4" ht="15" customHeight="1" x14ac:dyDescent="0.3">
      <c r="C947"/>
      <c r="D947"/>
    </row>
    <row r="948" spans="3:4" ht="15" customHeight="1" x14ac:dyDescent="0.3">
      <c r="C948"/>
      <c r="D948"/>
    </row>
    <row r="949" spans="3:4" ht="15" customHeight="1" x14ac:dyDescent="0.3">
      <c r="C949"/>
      <c r="D949"/>
    </row>
    <row r="950" spans="3:4" ht="15" customHeight="1" x14ac:dyDescent="0.3">
      <c r="C950"/>
      <c r="D950"/>
    </row>
    <row r="951" spans="3:4" ht="15" customHeight="1" x14ac:dyDescent="0.3">
      <c r="C951"/>
      <c r="D951"/>
    </row>
    <row r="952" spans="3:4" ht="15" customHeight="1" x14ac:dyDescent="0.3">
      <c r="C952"/>
      <c r="D952"/>
    </row>
    <row r="953" spans="3:4" ht="15" customHeight="1" x14ac:dyDescent="0.3">
      <c r="C953"/>
      <c r="D953"/>
    </row>
    <row r="954" spans="3:4" ht="15" customHeight="1" x14ac:dyDescent="0.3">
      <c r="C954"/>
      <c r="D954"/>
    </row>
    <row r="955" spans="3:4" ht="15" customHeight="1" x14ac:dyDescent="0.3">
      <c r="C955"/>
      <c r="D955"/>
    </row>
    <row r="956" spans="3:4" ht="15" customHeight="1" x14ac:dyDescent="0.3">
      <c r="C956"/>
      <c r="D956"/>
    </row>
    <row r="957" spans="3:4" ht="15" customHeight="1" x14ac:dyDescent="0.3">
      <c r="C957"/>
      <c r="D957"/>
    </row>
    <row r="958" spans="3:4" ht="15" customHeight="1" x14ac:dyDescent="0.3">
      <c r="C958"/>
      <c r="D958"/>
    </row>
    <row r="959" spans="3:4" ht="15" customHeight="1" x14ac:dyDescent="0.3">
      <c r="C959"/>
      <c r="D959"/>
    </row>
    <row r="960" spans="3:4" ht="15" customHeight="1" x14ac:dyDescent="0.3">
      <c r="C960"/>
      <c r="D960"/>
    </row>
    <row r="961" spans="3:4" ht="15" customHeight="1" x14ac:dyDescent="0.3">
      <c r="C961"/>
      <c r="D961"/>
    </row>
    <row r="962" spans="3:4" ht="15" customHeight="1" x14ac:dyDescent="0.3">
      <c r="C962"/>
      <c r="D962"/>
    </row>
    <row r="963" spans="3:4" ht="15" customHeight="1" x14ac:dyDescent="0.3">
      <c r="C963"/>
      <c r="D963"/>
    </row>
    <row r="964" spans="3:4" ht="15" customHeight="1" x14ac:dyDescent="0.3">
      <c r="C964"/>
      <c r="D964"/>
    </row>
    <row r="965" spans="3:4" ht="15" customHeight="1" x14ac:dyDescent="0.3">
      <c r="C965"/>
      <c r="D965"/>
    </row>
    <row r="966" spans="3:4" ht="15" customHeight="1" x14ac:dyDescent="0.3">
      <c r="C966"/>
      <c r="D966"/>
    </row>
    <row r="967" spans="3:4" ht="15" customHeight="1" x14ac:dyDescent="0.3">
      <c r="C967"/>
      <c r="D967"/>
    </row>
    <row r="968" spans="3:4" ht="15" customHeight="1" x14ac:dyDescent="0.3">
      <c r="C968"/>
      <c r="D968"/>
    </row>
    <row r="969" spans="3:4" ht="15" customHeight="1" x14ac:dyDescent="0.3">
      <c r="C969"/>
      <c r="D969"/>
    </row>
    <row r="970" spans="3:4" ht="15" customHeight="1" x14ac:dyDescent="0.3">
      <c r="C970"/>
      <c r="D970"/>
    </row>
    <row r="971" spans="3:4" ht="15" customHeight="1" x14ac:dyDescent="0.3">
      <c r="C971"/>
      <c r="D971"/>
    </row>
    <row r="972" spans="3:4" ht="15" customHeight="1" x14ac:dyDescent="0.3">
      <c r="C972"/>
      <c r="D972"/>
    </row>
    <row r="973" spans="3:4" ht="15" customHeight="1" x14ac:dyDescent="0.3">
      <c r="C973"/>
      <c r="D973"/>
    </row>
    <row r="974" spans="3:4" ht="15" customHeight="1" x14ac:dyDescent="0.3">
      <c r="C974"/>
      <c r="D974"/>
    </row>
    <row r="975" spans="3:4" ht="15" customHeight="1" x14ac:dyDescent="0.3">
      <c r="C975"/>
      <c r="D975"/>
    </row>
    <row r="976" spans="3:4" ht="15" customHeight="1" x14ac:dyDescent="0.3">
      <c r="C976"/>
      <c r="D976"/>
    </row>
    <row r="977" spans="3:4" ht="15" customHeight="1" x14ac:dyDescent="0.3">
      <c r="C977"/>
      <c r="D977"/>
    </row>
    <row r="978" spans="3:4" ht="15" customHeight="1" x14ac:dyDescent="0.3">
      <c r="C978"/>
      <c r="D978"/>
    </row>
    <row r="979" spans="3:4" ht="15" customHeight="1" x14ac:dyDescent="0.3">
      <c r="C979"/>
      <c r="D979"/>
    </row>
    <row r="980" spans="3:4" ht="15" customHeight="1" x14ac:dyDescent="0.3">
      <c r="C980"/>
      <c r="D980"/>
    </row>
    <row r="981" spans="3:4" ht="15" customHeight="1" x14ac:dyDescent="0.3">
      <c r="C981"/>
      <c r="D981"/>
    </row>
    <row r="982" spans="3:4" ht="15" customHeight="1" x14ac:dyDescent="0.3">
      <c r="C982"/>
      <c r="D982"/>
    </row>
    <row r="983" spans="3:4" ht="15" customHeight="1" x14ac:dyDescent="0.3">
      <c r="C983"/>
      <c r="D983"/>
    </row>
    <row r="984" spans="3:4" ht="15" customHeight="1" x14ac:dyDescent="0.3">
      <c r="C984"/>
      <c r="D984"/>
    </row>
    <row r="985" spans="3:4" ht="15" customHeight="1" x14ac:dyDescent="0.3">
      <c r="C985"/>
      <c r="D985"/>
    </row>
    <row r="986" spans="3:4" ht="15" customHeight="1" x14ac:dyDescent="0.3">
      <c r="C986"/>
      <c r="D986"/>
    </row>
    <row r="987" spans="3:4" ht="15" customHeight="1" x14ac:dyDescent="0.3">
      <c r="C987"/>
      <c r="D987"/>
    </row>
    <row r="988" spans="3:4" ht="15" customHeight="1" x14ac:dyDescent="0.3">
      <c r="C988"/>
      <c r="D988"/>
    </row>
    <row r="989" spans="3:4" ht="15" customHeight="1" x14ac:dyDescent="0.3">
      <c r="C989"/>
      <c r="D989"/>
    </row>
    <row r="990" spans="3:4" ht="15" customHeight="1" x14ac:dyDescent="0.3">
      <c r="C990"/>
      <c r="D990"/>
    </row>
    <row r="991" spans="3:4" ht="15" customHeight="1" x14ac:dyDescent="0.3">
      <c r="C991"/>
      <c r="D991"/>
    </row>
    <row r="992" spans="3:4" ht="15" customHeight="1" x14ac:dyDescent="0.3">
      <c r="C992"/>
      <c r="D992"/>
    </row>
    <row r="993" spans="3:4" ht="15" customHeight="1" x14ac:dyDescent="0.3">
      <c r="C993"/>
      <c r="D993"/>
    </row>
    <row r="994" spans="3:4" ht="15" customHeight="1" x14ac:dyDescent="0.3">
      <c r="C994"/>
      <c r="D994"/>
    </row>
    <row r="995" spans="3:4" ht="15" customHeight="1" x14ac:dyDescent="0.3">
      <c r="C995"/>
      <c r="D995"/>
    </row>
    <row r="996" spans="3:4" ht="15" customHeight="1" x14ac:dyDescent="0.3">
      <c r="C996"/>
      <c r="D996"/>
    </row>
    <row r="997" spans="3:4" ht="15" customHeight="1" x14ac:dyDescent="0.3">
      <c r="C997"/>
      <c r="D997"/>
    </row>
    <row r="998" spans="3:4" ht="15" customHeight="1" x14ac:dyDescent="0.3">
      <c r="C998"/>
      <c r="D998"/>
    </row>
    <row r="999" spans="3:4" ht="15" customHeight="1" x14ac:dyDescent="0.3">
      <c r="C999"/>
      <c r="D999"/>
    </row>
    <row r="1000" spans="3:4" ht="15" customHeight="1" x14ac:dyDescent="0.3">
      <c r="C1000"/>
      <c r="D1000"/>
    </row>
    <row r="1001" spans="3:4" ht="15" customHeight="1" x14ac:dyDescent="0.3">
      <c r="C1001"/>
      <c r="D1001"/>
    </row>
    <row r="1002" spans="3:4" ht="15" customHeight="1" x14ac:dyDescent="0.3">
      <c r="C1002"/>
      <c r="D1002"/>
    </row>
    <row r="1003" spans="3:4" ht="15" customHeight="1" x14ac:dyDescent="0.3">
      <c r="C1003"/>
      <c r="D1003"/>
    </row>
    <row r="1004" spans="3:4" ht="15" customHeight="1" x14ac:dyDescent="0.3">
      <c r="C1004"/>
      <c r="D1004"/>
    </row>
    <row r="1005" spans="3:4" ht="15" customHeight="1" x14ac:dyDescent="0.3">
      <c r="C1005"/>
      <c r="D1005"/>
    </row>
    <row r="1006" spans="3:4" ht="15" customHeight="1" x14ac:dyDescent="0.3">
      <c r="C1006"/>
      <c r="D1006"/>
    </row>
    <row r="1007" spans="3:4" ht="15" customHeight="1" x14ac:dyDescent="0.3">
      <c r="C1007"/>
      <c r="D1007"/>
    </row>
    <row r="1008" spans="3:4" ht="15" customHeight="1" x14ac:dyDescent="0.3">
      <c r="C1008"/>
      <c r="D1008"/>
    </row>
    <row r="1009" spans="3:4" ht="15" customHeight="1" x14ac:dyDescent="0.3">
      <c r="C1009"/>
      <c r="D1009"/>
    </row>
    <row r="1010" spans="3:4" ht="15" customHeight="1" x14ac:dyDescent="0.3">
      <c r="C1010"/>
      <c r="D1010"/>
    </row>
    <row r="1011" spans="3:4" ht="15" customHeight="1" x14ac:dyDescent="0.3">
      <c r="C1011"/>
      <c r="D1011"/>
    </row>
    <row r="1012" spans="3:4" ht="15" customHeight="1" x14ac:dyDescent="0.3">
      <c r="C1012"/>
      <c r="D1012"/>
    </row>
    <row r="1013" spans="3:4" ht="15" customHeight="1" x14ac:dyDescent="0.3">
      <c r="C1013"/>
      <c r="D1013"/>
    </row>
    <row r="1014" spans="3:4" ht="15" customHeight="1" x14ac:dyDescent="0.3">
      <c r="C1014"/>
      <c r="D1014"/>
    </row>
    <row r="1015" spans="3:4" ht="15" customHeight="1" x14ac:dyDescent="0.3">
      <c r="C1015"/>
      <c r="D1015"/>
    </row>
    <row r="1016" spans="3:4" ht="15" customHeight="1" x14ac:dyDescent="0.3">
      <c r="C1016"/>
      <c r="D1016"/>
    </row>
    <row r="1017" spans="3:4" ht="15" customHeight="1" x14ac:dyDescent="0.3">
      <c r="C1017"/>
      <c r="D1017"/>
    </row>
    <row r="1018" spans="3:4" ht="15" customHeight="1" x14ac:dyDescent="0.3">
      <c r="C1018"/>
      <c r="D1018"/>
    </row>
    <row r="1019" spans="3:4" ht="15" customHeight="1" x14ac:dyDescent="0.3">
      <c r="C1019"/>
      <c r="D1019"/>
    </row>
    <row r="1020" spans="3:4" ht="15" customHeight="1" x14ac:dyDescent="0.3">
      <c r="C1020"/>
      <c r="D1020"/>
    </row>
    <row r="1021" spans="3:4" ht="15" customHeight="1" x14ac:dyDescent="0.3">
      <c r="C1021"/>
      <c r="D1021"/>
    </row>
    <row r="1022" spans="3:4" ht="15" customHeight="1" x14ac:dyDescent="0.3">
      <c r="C1022"/>
      <c r="D1022"/>
    </row>
    <row r="1023" spans="3:4" ht="15" customHeight="1" x14ac:dyDescent="0.3">
      <c r="C1023"/>
      <c r="D1023"/>
    </row>
    <row r="1024" spans="3:4" ht="15" customHeight="1" x14ac:dyDescent="0.3">
      <c r="C1024"/>
      <c r="D1024"/>
    </row>
    <row r="1025" spans="3:4" ht="15" customHeight="1" x14ac:dyDescent="0.3">
      <c r="C1025"/>
      <c r="D1025"/>
    </row>
    <row r="1026" spans="3:4" ht="15" customHeight="1" x14ac:dyDescent="0.3">
      <c r="C1026"/>
      <c r="D1026"/>
    </row>
    <row r="1027" spans="3:4" ht="15" customHeight="1" x14ac:dyDescent="0.3">
      <c r="C1027"/>
      <c r="D1027"/>
    </row>
    <row r="1028" spans="3:4" ht="15" customHeight="1" x14ac:dyDescent="0.3">
      <c r="C1028"/>
      <c r="D1028"/>
    </row>
    <row r="1029" spans="3:4" ht="15" customHeight="1" x14ac:dyDescent="0.3">
      <c r="C1029"/>
      <c r="D1029"/>
    </row>
    <row r="1030" spans="3:4" ht="15" customHeight="1" x14ac:dyDescent="0.3">
      <c r="C1030"/>
      <c r="D1030"/>
    </row>
    <row r="1031" spans="3:4" ht="15" customHeight="1" x14ac:dyDescent="0.3">
      <c r="C1031"/>
      <c r="D1031"/>
    </row>
    <row r="1032" spans="3:4" ht="15" customHeight="1" x14ac:dyDescent="0.3">
      <c r="C1032"/>
      <c r="D1032"/>
    </row>
    <row r="1033" spans="3:4" ht="15" customHeight="1" x14ac:dyDescent="0.3">
      <c r="C1033"/>
      <c r="D1033"/>
    </row>
    <row r="1034" spans="3:4" ht="15" customHeight="1" x14ac:dyDescent="0.3">
      <c r="C1034"/>
      <c r="D1034"/>
    </row>
    <row r="1035" spans="3:4" ht="15" customHeight="1" x14ac:dyDescent="0.3">
      <c r="C1035"/>
      <c r="D1035"/>
    </row>
    <row r="1036" spans="3:4" ht="15" customHeight="1" x14ac:dyDescent="0.3">
      <c r="C1036"/>
      <c r="D1036"/>
    </row>
    <row r="1037" spans="3:4" ht="15" customHeight="1" x14ac:dyDescent="0.3">
      <c r="C1037"/>
      <c r="D1037"/>
    </row>
    <row r="1038" spans="3:4" ht="15" customHeight="1" x14ac:dyDescent="0.3">
      <c r="C1038"/>
      <c r="D1038"/>
    </row>
    <row r="1039" spans="3:4" ht="15" customHeight="1" x14ac:dyDescent="0.3">
      <c r="C1039"/>
      <c r="D1039"/>
    </row>
    <row r="1040" spans="3:4" ht="15" customHeight="1" x14ac:dyDescent="0.3">
      <c r="C1040"/>
      <c r="D1040"/>
    </row>
    <row r="1041" spans="3:4" ht="15" customHeight="1" x14ac:dyDescent="0.3">
      <c r="C1041"/>
      <c r="D1041"/>
    </row>
    <row r="1042" spans="3:4" ht="15" customHeight="1" x14ac:dyDescent="0.3">
      <c r="C1042"/>
      <c r="D1042"/>
    </row>
    <row r="1043" spans="3:4" ht="15" customHeight="1" x14ac:dyDescent="0.3">
      <c r="C1043"/>
      <c r="D1043"/>
    </row>
    <row r="1044" spans="3:4" ht="15" customHeight="1" x14ac:dyDescent="0.3">
      <c r="C1044"/>
      <c r="D1044"/>
    </row>
    <row r="1045" spans="3:4" ht="15" customHeight="1" x14ac:dyDescent="0.3">
      <c r="C1045"/>
      <c r="D1045"/>
    </row>
    <row r="1046" spans="3:4" ht="15" customHeight="1" x14ac:dyDescent="0.3">
      <c r="C1046"/>
      <c r="D1046"/>
    </row>
    <row r="1047" spans="3:4" ht="15" customHeight="1" x14ac:dyDescent="0.3">
      <c r="C1047"/>
      <c r="D1047"/>
    </row>
    <row r="1048" spans="3:4" ht="15" customHeight="1" x14ac:dyDescent="0.3">
      <c r="C1048"/>
      <c r="D1048"/>
    </row>
    <row r="1049" spans="3:4" ht="15" customHeight="1" x14ac:dyDescent="0.3">
      <c r="C1049"/>
      <c r="D1049"/>
    </row>
    <row r="1050" spans="3:4" ht="15" customHeight="1" x14ac:dyDescent="0.3">
      <c r="C1050"/>
      <c r="D1050"/>
    </row>
    <row r="1051" spans="3:4" ht="15" customHeight="1" x14ac:dyDescent="0.3">
      <c r="C1051"/>
      <c r="D1051"/>
    </row>
    <row r="1052" spans="3:4" ht="15" customHeight="1" x14ac:dyDescent="0.3">
      <c r="C1052"/>
      <c r="D1052"/>
    </row>
    <row r="1053" spans="3:4" ht="15" customHeight="1" x14ac:dyDescent="0.3">
      <c r="C1053"/>
      <c r="D1053"/>
    </row>
    <row r="1054" spans="3:4" ht="15" customHeight="1" x14ac:dyDescent="0.3">
      <c r="C1054"/>
      <c r="D1054"/>
    </row>
    <row r="1055" spans="3:4" ht="15" customHeight="1" x14ac:dyDescent="0.3">
      <c r="C1055"/>
      <c r="D1055"/>
    </row>
    <row r="1056" spans="3:4" ht="15" customHeight="1" x14ac:dyDescent="0.3">
      <c r="C1056"/>
      <c r="D1056"/>
    </row>
    <row r="1057" spans="3:4" ht="15" customHeight="1" x14ac:dyDescent="0.3">
      <c r="C1057"/>
      <c r="D1057"/>
    </row>
    <row r="1058" spans="3:4" ht="15" customHeight="1" x14ac:dyDescent="0.3">
      <c r="C1058"/>
      <c r="D1058"/>
    </row>
    <row r="1059" spans="3:4" ht="15" customHeight="1" x14ac:dyDescent="0.3">
      <c r="C1059"/>
      <c r="D1059"/>
    </row>
    <row r="1060" spans="3:4" ht="15" customHeight="1" x14ac:dyDescent="0.3">
      <c r="C1060"/>
      <c r="D1060"/>
    </row>
    <row r="1061" spans="3:4" ht="15" customHeight="1" x14ac:dyDescent="0.3">
      <c r="C1061"/>
      <c r="D1061"/>
    </row>
    <row r="1062" spans="3:4" ht="15" customHeight="1" x14ac:dyDescent="0.3">
      <c r="C1062"/>
      <c r="D1062"/>
    </row>
    <row r="1063" spans="3:4" ht="15" customHeight="1" x14ac:dyDescent="0.3">
      <c r="C1063"/>
      <c r="D1063"/>
    </row>
    <row r="1064" spans="3:4" ht="15" customHeight="1" x14ac:dyDescent="0.3">
      <c r="C1064"/>
      <c r="D1064"/>
    </row>
    <row r="1065" spans="3:4" ht="15" customHeight="1" x14ac:dyDescent="0.3">
      <c r="C1065"/>
      <c r="D1065"/>
    </row>
    <row r="1066" spans="3:4" ht="15" customHeight="1" x14ac:dyDescent="0.3">
      <c r="C1066"/>
      <c r="D1066"/>
    </row>
    <row r="1067" spans="3:4" ht="15" customHeight="1" x14ac:dyDescent="0.3">
      <c r="C1067"/>
      <c r="D1067"/>
    </row>
    <row r="1068" spans="3:4" ht="15" customHeight="1" x14ac:dyDescent="0.3">
      <c r="C1068"/>
      <c r="D1068"/>
    </row>
    <row r="1069" spans="3:4" ht="15" customHeight="1" x14ac:dyDescent="0.3">
      <c r="C1069"/>
      <c r="D1069"/>
    </row>
    <row r="1070" spans="3:4" ht="15" customHeight="1" x14ac:dyDescent="0.3">
      <c r="C1070"/>
      <c r="D1070"/>
    </row>
    <row r="1071" spans="3:4" ht="15" customHeight="1" x14ac:dyDescent="0.3">
      <c r="C1071"/>
      <c r="D1071"/>
    </row>
    <row r="1072" spans="3:4" ht="15" customHeight="1" x14ac:dyDescent="0.3">
      <c r="C1072"/>
      <c r="D1072"/>
    </row>
    <row r="1073" spans="3:4" ht="15" customHeight="1" x14ac:dyDescent="0.3">
      <c r="C1073"/>
      <c r="D1073"/>
    </row>
    <row r="1074" spans="3:4" ht="15" customHeight="1" x14ac:dyDescent="0.3">
      <c r="C1074"/>
      <c r="D1074"/>
    </row>
    <row r="1075" spans="3:4" ht="15" customHeight="1" x14ac:dyDescent="0.3">
      <c r="C1075"/>
      <c r="D1075"/>
    </row>
    <row r="1076" spans="3:4" ht="15" customHeight="1" x14ac:dyDescent="0.3">
      <c r="C1076"/>
      <c r="D1076"/>
    </row>
    <row r="1077" spans="3:4" ht="15" customHeight="1" x14ac:dyDescent="0.3">
      <c r="C1077"/>
      <c r="D1077"/>
    </row>
    <row r="1078" spans="3:4" ht="15" customHeight="1" x14ac:dyDescent="0.3">
      <c r="C1078"/>
      <c r="D1078"/>
    </row>
    <row r="1079" spans="3:4" ht="15" customHeight="1" x14ac:dyDescent="0.3">
      <c r="C1079"/>
      <c r="D1079"/>
    </row>
    <row r="1080" spans="3:4" ht="15" customHeight="1" x14ac:dyDescent="0.3">
      <c r="C1080"/>
      <c r="D1080"/>
    </row>
    <row r="1081" spans="3:4" ht="15" customHeight="1" x14ac:dyDescent="0.3">
      <c r="C1081"/>
      <c r="D1081"/>
    </row>
    <row r="1082" spans="3:4" ht="15" customHeight="1" x14ac:dyDescent="0.3">
      <c r="C1082"/>
      <c r="D1082"/>
    </row>
    <row r="1083" spans="3:4" ht="15" customHeight="1" x14ac:dyDescent="0.3">
      <c r="C1083"/>
      <c r="D1083"/>
    </row>
    <row r="1084" spans="3:4" ht="15" customHeight="1" x14ac:dyDescent="0.3">
      <c r="C1084"/>
      <c r="D1084"/>
    </row>
    <row r="1085" spans="3:4" ht="15" customHeight="1" x14ac:dyDescent="0.3">
      <c r="C1085"/>
      <c r="D1085"/>
    </row>
    <row r="1086" spans="3:4" ht="15" customHeight="1" x14ac:dyDescent="0.3">
      <c r="C1086"/>
      <c r="D1086"/>
    </row>
    <row r="1087" spans="3:4" ht="15" customHeight="1" x14ac:dyDescent="0.3">
      <c r="C1087"/>
      <c r="D1087"/>
    </row>
    <row r="1088" spans="3:4" ht="15" customHeight="1" x14ac:dyDescent="0.3">
      <c r="C1088"/>
      <c r="D1088"/>
    </row>
    <row r="1089" spans="3:4" ht="15" customHeight="1" x14ac:dyDescent="0.3">
      <c r="C1089"/>
      <c r="D1089"/>
    </row>
    <row r="1090" spans="3:4" ht="15" customHeight="1" x14ac:dyDescent="0.3">
      <c r="C1090"/>
      <c r="D1090"/>
    </row>
    <row r="1091" spans="3:4" ht="15" customHeight="1" x14ac:dyDescent="0.3">
      <c r="C1091"/>
      <c r="D1091"/>
    </row>
    <row r="1092" spans="3:4" ht="15" customHeight="1" x14ac:dyDescent="0.3">
      <c r="C1092"/>
      <c r="D1092"/>
    </row>
    <row r="1093" spans="3:4" ht="15" customHeight="1" x14ac:dyDescent="0.3">
      <c r="C1093"/>
      <c r="D1093"/>
    </row>
    <row r="1094" spans="3:4" ht="15" customHeight="1" x14ac:dyDescent="0.3">
      <c r="C1094"/>
      <c r="D1094"/>
    </row>
    <row r="1095" spans="3:4" ht="15" customHeight="1" x14ac:dyDescent="0.3">
      <c r="C1095"/>
      <c r="D1095"/>
    </row>
    <row r="1096" spans="3:4" ht="15" customHeight="1" x14ac:dyDescent="0.3">
      <c r="C1096"/>
      <c r="D1096"/>
    </row>
    <row r="1097" spans="3:4" ht="15" customHeight="1" x14ac:dyDescent="0.3">
      <c r="C1097"/>
      <c r="D1097"/>
    </row>
    <row r="1098" spans="3:4" ht="15" customHeight="1" x14ac:dyDescent="0.3">
      <c r="C1098"/>
      <c r="D1098"/>
    </row>
    <row r="1099" spans="3:4" ht="15" customHeight="1" x14ac:dyDescent="0.3">
      <c r="C1099"/>
      <c r="D1099"/>
    </row>
    <row r="1100" spans="3:4" ht="15" customHeight="1" x14ac:dyDescent="0.3">
      <c r="C1100"/>
      <c r="D1100"/>
    </row>
    <row r="1101" spans="3:4" ht="15" customHeight="1" x14ac:dyDescent="0.3">
      <c r="C1101"/>
      <c r="D1101"/>
    </row>
    <row r="1102" spans="3:4" ht="15" customHeight="1" x14ac:dyDescent="0.3">
      <c r="C1102"/>
      <c r="D1102"/>
    </row>
    <row r="1103" spans="3:4" ht="15" customHeight="1" x14ac:dyDescent="0.3">
      <c r="C1103"/>
      <c r="D1103"/>
    </row>
    <row r="1104" spans="3:4" ht="15" customHeight="1" x14ac:dyDescent="0.3">
      <c r="C1104"/>
      <c r="D1104"/>
    </row>
    <row r="1105" spans="3:4" ht="15" customHeight="1" x14ac:dyDescent="0.3">
      <c r="C1105"/>
      <c r="D1105"/>
    </row>
    <row r="1106" spans="3:4" ht="15" customHeight="1" x14ac:dyDescent="0.3">
      <c r="C1106"/>
      <c r="D1106"/>
    </row>
    <row r="1107" spans="3:4" ht="15" customHeight="1" x14ac:dyDescent="0.3">
      <c r="C1107"/>
      <c r="D1107"/>
    </row>
    <row r="1108" spans="3:4" ht="15" customHeight="1" x14ac:dyDescent="0.3">
      <c r="C1108"/>
      <c r="D1108"/>
    </row>
    <row r="1109" spans="3:4" ht="15" customHeight="1" x14ac:dyDescent="0.3">
      <c r="C1109"/>
      <c r="D1109"/>
    </row>
    <row r="1110" spans="3:4" ht="15" customHeight="1" x14ac:dyDescent="0.3">
      <c r="C1110"/>
      <c r="D1110"/>
    </row>
    <row r="1111" spans="3:4" ht="15" customHeight="1" x14ac:dyDescent="0.3">
      <c r="C1111"/>
      <c r="D1111"/>
    </row>
    <row r="1112" spans="3:4" ht="15" customHeight="1" x14ac:dyDescent="0.3">
      <c r="C1112"/>
      <c r="D1112"/>
    </row>
    <row r="1113" spans="3:4" ht="15" customHeight="1" x14ac:dyDescent="0.3">
      <c r="C1113"/>
      <c r="D1113"/>
    </row>
    <row r="1114" spans="3:4" ht="15" customHeight="1" x14ac:dyDescent="0.3">
      <c r="C1114"/>
      <c r="D1114"/>
    </row>
    <row r="1115" spans="3:4" ht="15" customHeight="1" x14ac:dyDescent="0.3">
      <c r="C1115"/>
      <c r="D1115"/>
    </row>
    <row r="1116" spans="3:4" ht="15" customHeight="1" x14ac:dyDescent="0.3">
      <c r="C1116"/>
      <c r="D1116"/>
    </row>
    <row r="1117" spans="3:4" ht="15" customHeight="1" x14ac:dyDescent="0.3">
      <c r="C1117"/>
      <c r="D1117"/>
    </row>
    <row r="1118" spans="3:4" ht="15" customHeight="1" x14ac:dyDescent="0.3">
      <c r="C1118"/>
      <c r="D1118"/>
    </row>
    <row r="1119" spans="3:4" ht="15" customHeight="1" x14ac:dyDescent="0.3">
      <c r="C1119"/>
      <c r="D1119"/>
    </row>
    <row r="1120" spans="3:4" ht="15" customHeight="1" x14ac:dyDescent="0.3">
      <c r="C1120"/>
      <c r="D1120"/>
    </row>
    <row r="1121" spans="3:4" ht="15" customHeight="1" x14ac:dyDescent="0.3">
      <c r="C1121"/>
      <c r="D1121"/>
    </row>
    <row r="1122" spans="3:4" ht="15" customHeight="1" x14ac:dyDescent="0.3">
      <c r="C1122"/>
      <c r="D1122"/>
    </row>
    <row r="1123" spans="3:4" ht="15" customHeight="1" x14ac:dyDescent="0.3">
      <c r="C1123"/>
      <c r="D1123"/>
    </row>
    <row r="1124" spans="3:4" ht="15" customHeight="1" x14ac:dyDescent="0.3">
      <c r="C1124"/>
      <c r="D1124"/>
    </row>
    <row r="1125" spans="3:4" ht="15" customHeight="1" x14ac:dyDescent="0.3">
      <c r="C1125"/>
      <c r="D1125"/>
    </row>
    <row r="1126" spans="3:4" ht="15" customHeight="1" x14ac:dyDescent="0.3">
      <c r="C1126"/>
      <c r="D1126"/>
    </row>
    <row r="1127" spans="3:4" ht="15" customHeight="1" x14ac:dyDescent="0.3">
      <c r="C1127"/>
      <c r="D1127"/>
    </row>
    <row r="1128" spans="3:4" ht="15" customHeight="1" x14ac:dyDescent="0.3">
      <c r="C1128"/>
      <c r="D1128"/>
    </row>
    <row r="1129" spans="3:4" ht="15" customHeight="1" x14ac:dyDescent="0.3">
      <c r="C1129"/>
      <c r="D1129"/>
    </row>
    <row r="1130" spans="3:4" ht="15" customHeight="1" x14ac:dyDescent="0.3">
      <c r="C1130"/>
      <c r="D1130"/>
    </row>
    <row r="1131" spans="3:4" ht="15" customHeight="1" x14ac:dyDescent="0.3">
      <c r="C1131"/>
      <c r="D1131"/>
    </row>
    <row r="1132" spans="3:4" ht="15" customHeight="1" x14ac:dyDescent="0.3">
      <c r="C1132"/>
      <c r="D1132"/>
    </row>
    <row r="1133" spans="3:4" ht="15" customHeight="1" x14ac:dyDescent="0.3">
      <c r="C1133"/>
      <c r="D1133"/>
    </row>
    <row r="1134" spans="3:4" ht="15" customHeight="1" x14ac:dyDescent="0.3">
      <c r="C1134"/>
      <c r="D1134"/>
    </row>
    <row r="1135" spans="3:4" ht="15" customHeight="1" x14ac:dyDescent="0.3">
      <c r="C1135"/>
      <c r="D1135"/>
    </row>
    <row r="1136" spans="3:4" ht="15" customHeight="1" x14ac:dyDescent="0.3">
      <c r="C1136"/>
      <c r="D1136"/>
    </row>
    <row r="1137" spans="3:4" ht="15" customHeight="1" x14ac:dyDescent="0.3">
      <c r="C1137"/>
      <c r="D1137"/>
    </row>
    <row r="1138" spans="3:4" ht="15" customHeight="1" x14ac:dyDescent="0.3">
      <c r="C1138"/>
      <c r="D1138"/>
    </row>
    <row r="1139" spans="3:4" ht="15" customHeight="1" x14ac:dyDescent="0.3">
      <c r="C1139"/>
      <c r="D1139"/>
    </row>
    <row r="1140" spans="3:4" ht="15" customHeight="1" x14ac:dyDescent="0.3">
      <c r="C1140"/>
      <c r="D1140"/>
    </row>
    <row r="1141" spans="3:4" ht="15" customHeight="1" x14ac:dyDescent="0.3">
      <c r="C1141"/>
      <c r="D1141"/>
    </row>
    <row r="1142" spans="3:4" ht="15" customHeight="1" x14ac:dyDescent="0.3">
      <c r="C1142"/>
      <c r="D1142"/>
    </row>
    <row r="1143" spans="3:4" ht="15" customHeight="1" x14ac:dyDescent="0.3">
      <c r="C1143"/>
      <c r="D1143"/>
    </row>
    <row r="1144" spans="3:4" ht="15" customHeight="1" x14ac:dyDescent="0.3">
      <c r="C1144"/>
      <c r="D1144"/>
    </row>
    <row r="1145" spans="3:4" ht="15" customHeight="1" x14ac:dyDescent="0.3">
      <c r="C1145"/>
      <c r="D1145"/>
    </row>
    <row r="1146" spans="3:4" ht="15" customHeight="1" x14ac:dyDescent="0.3">
      <c r="C1146"/>
      <c r="D1146"/>
    </row>
    <row r="1147" spans="3:4" ht="15" customHeight="1" x14ac:dyDescent="0.3">
      <c r="C1147"/>
      <c r="D1147"/>
    </row>
    <row r="1148" spans="3:4" ht="15" customHeight="1" x14ac:dyDescent="0.3">
      <c r="C1148"/>
      <c r="D1148"/>
    </row>
    <row r="1149" spans="3:4" ht="15" customHeight="1" x14ac:dyDescent="0.3">
      <c r="C1149"/>
      <c r="D1149"/>
    </row>
    <row r="1150" spans="3:4" ht="15" customHeight="1" x14ac:dyDescent="0.3">
      <c r="C1150"/>
      <c r="D1150"/>
    </row>
    <row r="1151" spans="3:4" ht="15" customHeight="1" x14ac:dyDescent="0.3">
      <c r="C1151"/>
      <c r="D1151"/>
    </row>
    <row r="1152" spans="3:4" ht="15" customHeight="1" x14ac:dyDescent="0.3">
      <c r="C1152"/>
      <c r="D1152"/>
    </row>
    <row r="1153" spans="3:4" ht="15" customHeight="1" x14ac:dyDescent="0.3">
      <c r="C1153"/>
      <c r="D1153"/>
    </row>
    <row r="1154" spans="3:4" ht="15" customHeight="1" x14ac:dyDescent="0.3">
      <c r="C1154"/>
      <c r="D1154"/>
    </row>
    <row r="1155" spans="3:4" ht="15" customHeight="1" x14ac:dyDescent="0.3">
      <c r="C1155"/>
      <c r="D1155"/>
    </row>
    <row r="1156" spans="3:4" ht="15" customHeight="1" x14ac:dyDescent="0.3">
      <c r="C1156"/>
      <c r="D1156"/>
    </row>
    <row r="1157" spans="3:4" ht="15" customHeight="1" x14ac:dyDescent="0.3">
      <c r="C1157"/>
      <c r="D1157"/>
    </row>
    <row r="1158" spans="3:4" ht="15" customHeight="1" x14ac:dyDescent="0.3">
      <c r="C1158"/>
      <c r="D1158"/>
    </row>
    <row r="1159" spans="3:4" ht="15" customHeight="1" x14ac:dyDescent="0.3">
      <c r="C1159"/>
      <c r="D1159"/>
    </row>
    <row r="1160" spans="3:4" ht="15" customHeight="1" x14ac:dyDescent="0.3">
      <c r="C1160"/>
      <c r="D1160"/>
    </row>
    <row r="1161" spans="3:4" ht="15" customHeight="1" x14ac:dyDescent="0.3">
      <c r="C1161"/>
      <c r="D1161"/>
    </row>
    <row r="1162" spans="3:4" ht="15" customHeight="1" x14ac:dyDescent="0.3">
      <c r="C1162"/>
      <c r="D1162"/>
    </row>
    <row r="1163" spans="3:4" ht="15" customHeight="1" x14ac:dyDescent="0.3">
      <c r="C1163"/>
      <c r="D1163"/>
    </row>
    <row r="1164" spans="3:4" ht="15" customHeight="1" x14ac:dyDescent="0.3">
      <c r="C1164"/>
      <c r="D1164"/>
    </row>
    <row r="1165" spans="3:4" ht="15" customHeight="1" x14ac:dyDescent="0.3">
      <c r="C1165"/>
      <c r="D1165"/>
    </row>
    <row r="1166" spans="3:4" ht="15" customHeight="1" x14ac:dyDescent="0.3">
      <c r="C1166"/>
      <c r="D1166"/>
    </row>
    <row r="1167" spans="3:4" ht="15" customHeight="1" x14ac:dyDescent="0.3">
      <c r="C1167"/>
      <c r="D1167"/>
    </row>
    <row r="1168" spans="3:4" ht="15" customHeight="1" x14ac:dyDescent="0.3">
      <c r="C1168"/>
      <c r="D1168"/>
    </row>
    <row r="1169" spans="3:4" ht="15" customHeight="1" x14ac:dyDescent="0.3">
      <c r="C1169"/>
      <c r="D1169"/>
    </row>
    <row r="1170" spans="3:4" ht="15" customHeight="1" x14ac:dyDescent="0.3">
      <c r="C1170"/>
      <c r="D1170"/>
    </row>
    <row r="1171" spans="3:4" ht="15" customHeight="1" x14ac:dyDescent="0.3">
      <c r="C1171"/>
      <c r="D1171"/>
    </row>
    <row r="1172" spans="3:4" ht="15" customHeight="1" x14ac:dyDescent="0.3">
      <c r="C1172"/>
      <c r="D1172"/>
    </row>
    <row r="1173" spans="3:4" ht="15" customHeight="1" x14ac:dyDescent="0.3">
      <c r="C1173"/>
      <c r="D1173"/>
    </row>
    <row r="1174" spans="3:4" ht="15" customHeight="1" x14ac:dyDescent="0.3">
      <c r="C1174"/>
      <c r="D1174"/>
    </row>
    <row r="1175" spans="3:4" ht="15" customHeight="1" x14ac:dyDescent="0.3">
      <c r="C1175"/>
      <c r="D1175"/>
    </row>
  </sheetData>
  <mergeCells count="1">
    <mergeCell ref="C4:G4"/>
  </mergeCells>
  <conditionalFormatting sqref="H31">
    <cfRule type="containsText" dxfId="1" priority="1" operator="containsText" text="No Cumple">
      <formula>NOT(ISERROR(SEARCH("No Cumple",H31)))</formula>
    </cfRule>
  </conditionalFormatting>
  <conditionalFormatting sqref="H44">
    <cfRule type="cellIs" dxfId="0" priority="2" operator="lessThan">
      <formula>0</formula>
    </cfRule>
  </conditionalFormatting>
  <hyperlinks>
    <hyperlink ref="G23" r:id="rId2" xr:uid="{F1DF30F7-5E3B-41F2-A1D6-C65CC95C293B}"/>
  </hyperlinks>
  <printOptions horizontalCentered="1" verticalCentered="1"/>
  <pageMargins left="0" right="0" top="0.19685039370078741" bottom="0.19685039370078741" header="0.31496062992125984" footer="0.31496062992125984"/>
  <pageSetup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Condiciones Comerciales</vt:lpstr>
      <vt:lpstr>Calculadora BP+Mutuo</vt:lpstr>
      <vt:lpstr>'Calculadora BP+Mutuo'!Print_Area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Donoso</dc:creator>
  <cp:lastModifiedBy>Felipe Donoso</cp:lastModifiedBy>
  <dcterms:created xsi:type="dcterms:W3CDTF">2026-04-01T19:21:50Z</dcterms:created>
  <dcterms:modified xsi:type="dcterms:W3CDTF">2026-04-06T13:44:24Z</dcterms:modified>
</cp:coreProperties>
</file>